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10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11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/>
  <workbookPr showInkAnnotation="0" hidePivotFieldList="1" autoCompressPictures="0"/>
  <bookViews>
    <workbookView xWindow="20" yWindow="0" windowWidth="28800" windowHeight="17460" tabRatio="500" firstSheet="6" activeTab="13"/>
  </bookViews>
  <sheets>
    <sheet name="с" sheetId="1" r:id="rId1"/>
    <sheet name="пере" sheetId="2" r:id="rId2"/>
    <sheet name="сводная с" sheetId="5" r:id="rId3"/>
    <sheet name="сводная пере" sheetId="3" r:id="rId4"/>
    <sheet name="Лист8" sheetId="19" state="hidden" r:id="rId5"/>
    <sheet name="Лист10" sheetId="21" state="hidden" r:id="rId6"/>
    <sheet name="общее" sheetId="7" r:id="rId7"/>
    <sheet name="префтен" sheetId="8" r:id="rId8"/>
    <sheet name="префпер" sheetId="11" r:id="rId9"/>
    <sheet name="префпертен" sheetId="15" r:id="rId10"/>
    <sheet name="префпар1" sheetId="18" r:id="rId11"/>
    <sheet name="препар2" sheetId="25" r:id="rId12"/>
    <sheet name="префпар3" sheetId="26" r:id="rId13"/>
    <sheet name="график" sheetId="29" r:id="rId14"/>
  </sheets>
  <calcPr calcId="140001" concurrentCalc="0"/>
  <pivotCaches>
    <pivotCache cacheId="0" r:id="rId15"/>
    <pivotCache cacheId="1" r:id="rId16"/>
    <pivotCache cacheId="2" r:id="rId17"/>
    <pivotCache cacheId="5" r:id="rId18"/>
    <pivotCache cacheId="15" r:id="rId19"/>
    <pivotCache cacheId="29" r:id="rId20"/>
    <pivotCache cacheId="61" r:id="rId21"/>
    <pivotCache cacheId="67" r:id="rId22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6" i="1" l="1"/>
  <c r="V23" i="1"/>
  <c r="V22" i="1"/>
  <c r="V3" i="1"/>
  <c r="V17" i="1"/>
  <c r="V8" i="1"/>
  <c r="V25" i="1"/>
  <c r="V18" i="1"/>
  <c r="V13" i="1"/>
  <c r="V6" i="1"/>
  <c r="V10" i="1"/>
  <c r="V4" i="1"/>
  <c r="V11" i="1"/>
  <c r="V19" i="1"/>
  <c r="V14" i="1"/>
  <c r="V15" i="1"/>
  <c r="V20" i="1"/>
  <c r="V7" i="1"/>
  <c r="V12" i="1"/>
  <c r="V2" i="1"/>
  <c r="V21" i="1"/>
  <c r="V9" i="1"/>
  <c r="V5" i="1"/>
  <c r="V26" i="1"/>
  <c r="V24" i="1"/>
  <c r="V16" i="1"/>
  <c r="U5" i="1"/>
  <c r="U6" i="1"/>
  <c r="U23" i="1"/>
  <c r="U22" i="1"/>
  <c r="U3" i="1"/>
  <c r="U17" i="1"/>
  <c r="U8" i="1"/>
  <c r="U25" i="1"/>
  <c r="U18" i="1"/>
  <c r="U13" i="1"/>
  <c r="U10" i="1"/>
  <c r="U4" i="1"/>
  <c r="U11" i="1"/>
  <c r="U19" i="1"/>
  <c r="U14" i="1"/>
  <c r="U15" i="1"/>
  <c r="U20" i="1"/>
  <c r="U7" i="1"/>
  <c r="U12" i="1"/>
  <c r="U2" i="1"/>
  <c r="U21" i="1"/>
  <c r="U9" i="1"/>
  <c r="U24" i="1"/>
  <c r="U16" i="1"/>
  <c r="T14" i="1"/>
  <c r="T23" i="1"/>
  <c r="T22" i="1"/>
  <c r="T25" i="1"/>
  <c r="T5" i="1"/>
  <c r="T6" i="1"/>
  <c r="T7" i="1"/>
  <c r="T15" i="1"/>
  <c r="T11" i="1"/>
  <c r="T24" i="1"/>
  <c r="T26" i="1"/>
  <c r="T16" i="1"/>
  <c r="T8" i="1"/>
  <c r="T20" i="1"/>
  <c r="T9" i="1"/>
  <c r="T19" i="1"/>
  <c r="T12" i="1"/>
  <c r="T3" i="1"/>
  <c r="T2" i="1"/>
  <c r="T18" i="1"/>
  <c r="T4" i="1"/>
  <c r="T10" i="1"/>
  <c r="T13" i="1"/>
  <c r="T21" i="1"/>
  <c r="T17" i="1"/>
  <c r="U26" i="2"/>
  <c r="V9" i="2"/>
  <c r="V3" i="2"/>
  <c r="V12" i="2"/>
  <c r="V15" i="2"/>
  <c r="V6" i="2"/>
  <c r="V7" i="2"/>
  <c r="V11" i="2"/>
  <c r="V20" i="2"/>
  <c r="V23" i="2"/>
  <c r="V4" i="2"/>
  <c r="V24" i="2"/>
  <c r="V21" i="2"/>
  <c r="V22" i="2"/>
  <c r="V26" i="2"/>
  <c r="V25" i="2"/>
  <c r="V17" i="2"/>
  <c r="V18" i="2"/>
  <c r="V13" i="2"/>
  <c r="V14" i="2"/>
  <c r="V10" i="2"/>
  <c r="V5" i="2"/>
  <c r="V19" i="2"/>
  <c r="V2" i="2"/>
  <c r="V16" i="2"/>
  <c r="V8" i="2"/>
  <c r="U16" i="2"/>
  <c r="U8" i="2"/>
  <c r="U9" i="2"/>
  <c r="U3" i="2"/>
  <c r="U12" i="2"/>
  <c r="U15" i="2"/>
  <c r="U6" i="2"/>
  <c r="U7" i="2"/>
  <c r="U11" i="2"/>
  <c r="U20" i="2"/>
  <c r="U23" i="2"/>
  <c r="U4" i="2"/>
  <c r="U24" i="2"/>
  <c r="U21" i="2"/>
  <c r="U22" i="2"/>
  <c r="U25" i="2"/>
  <c r="U17" i="2"/>
  <c r="U18" i="2"/>
  <c r="U13" i="2"/>
  <c r="U14" i="2"/>
  <c r="U10" i="2"/>
  <c r="U5" i="2"/>
  <c r="U19" i="2"/>
  <c r="U2" i="2"/>
  <c r="T12" i="2"/>
  <c r="T19" i="2"/>
  <c r="T10" i="2"/>
  <c r="T14" i="2"/>
  <c r="T6" i="2"/>
  <c r="T21" i="2"/>
  <c r="T17" i="2"/>
  <c r="T4" i="2"/>
  <c r="T7" i="2"/>
  <c r="T20" i="2"/>
  <c r="T11" i="2"/>
  <c r="T3" i="2"/>
  <c r="T25" i="2"/>
  <c r="T24" i="2"/>
  <c r="T26" i="2"/>
  <c r="T5" i="2"/>
  <c r="T2" i="2"/>
  <c r="T23" i="2"/>
  <c r="T9" i="2"/>
  <c r="T8" i="2"/>
  <c r="T15" i="2"/>
  <c r="T18" i="2"/>
  <c r="T22" i="2"/>
  <c r="T13" i="2"/>
  <c r="T16" i="2"/>
</calcChain>
</file>

<file path=xl/sharedStrings.xml><?xml version="1.0" encoding="utf-8"?>
<sst xmlns="http://schemas.openxmlformats.org/spreadsheetml/2006/main" count="2500" uniqueCount="618">
  <si>
    <t>Reversed left context</t>
  </si>
  <si>
    <t>Reversed center</t>
  </si>
  <si>
    <t>Left context</t>
  </si>
  <si>
    <t>Center</t>
  </si>
  <si>
    <t>Punct</t>
  </si>
  <si>
    <t>Right context</t>
  </si>
  <si>
    <t>Title</t>
  </si>
  <si>
    <t>Author</t>
  </si>
  <si>
    <t>Birthday</t>
  </si>
  <si>
    <t>Header</t>
  </si>
  <si>
    <t>Created</t>
  </si>
  <si>
    <t>Sphere</t>
  </si>
  <si>
    <t>Type</t>
  </si>
  <si>
    <t>Topic</t>
  </si>
  <si>
    <t>Publication</t>
  </si>
  <si>
    <t>Publ_year</t>
  </si>
  <si>
    <t>Medium</t>
  </si>
  <si>
    <t>Ambiguity</t>
  </si>
  <si>
    <t>Full context</t>
  </si>
  <si>
    <t>ьшеатупс</t>
  </si>
  <si>
    <r>
      <t> 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 </t>
    </r>
  </si>
  <si>
    <t xml:space="preserve">  </t>
  </si>
  <si>
    <t>коллективный </t>
  </si>
  <si>
    <t> </t>
  </si>
  <si>
    <t>электронная коммуникация ,  нехудожественная </t>
  </si>
  <si>
    <t>электронный текст </t>
  </si>
  <si>
    <t>омонимия снята</t>
  </si>
  <si>
    <t>олатупс</t>
  </si>
  <si>
    <r>
      <t> 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> </t>
    </r>
  </si>
  <si>
    <t>2003 </t>
  </si>
  <si>
    <t>публицистика, нехудожественная </t>
  </si>
  <si>
    <t>статья </t>
  </si>
  <si>
    <t>политика и общественная жизнь </t>
  </si>
  <si>
    <t>«Известия» </t>
  </si>
  <si>
    <t>газета </t>
  </si>
  <si>
    <t>1923 </t>
  </si>
  <si>
    <t>2002 </t>
  </si>
  <si>
    <t>рассказ </t>
  </si>
  <si>
    <t>журнал </t>
  </si>
  <si>
    <t>латупс</t>
  </si>
  <si>
    <r>
      <t> 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 </t>
    </r>
  </si>
  <si>
    <t>2001 </t>
  </si>
  <si>
    <t>1959 </t>
  </si>
  <si>
    <t>искусство и культура </t>
  </si>
  <si>
    <t>«Октябрь» </t>
  </si>
  <si>
    <t>,  </t>
  </si>
  <si>
    <t>илатупс</t>
  </si>
  <si>
    <r>
      <t> 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 </t>
    </r>
  </si>
  <si>
    <t>1998 </t>
  </si>
  <si>
    <t>художественная </t>
  </si>
  <si>
    <t>роман </t>
  </si>
  <si>
    <t>«Новый Мир» </t>
  </si>
  <si>
    <t>алатупс</t>
  </si>
  <si>
    <r>
      <t> 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 </t>
    </r>
  </si>
  <si>
    <t>книга </t>
  </si>
  <si>
    <t>1924 </t>
  </si>
  <si>
    <t>1997 </t>
  </si>
  <si>
    <t>Фазиль Искандер </t>
  </si>
  <si>
    <t>1929 </t>
  </si>
  <si>
    <t>1989 </t>
  </si>
  <si>
    <t>.  </t>
  </si>
  <si>
    <t>повесть </t>
  </si>
  <si>
    <t>1990 </t>
  </si>
  <si>
    <t>1979 </t>
  </si>
  <si>
    <t>1992 </t>
  </si>
  <si>
    <t>?  </t>
  </si>
  <si>
    <t>1973 </t>
  </si>
  <si>
    <t>2000 </t>
  </si>
  <si>
    <t>Василий Гроссман </t>
  </si>
  <si>
    <t>1905 </t>
  </si>
  <si>
    <t>1960 </t>
  </si>
  <si>
    <t>Гроссман В. Жизнь и судьба </t>
  </si>
  <si>
    <t>, ―  </t>
  </si>
  <si>
    <t> но ацмен укур отч модяр</t>
  </si>
  <si>
    <t xml:space="preserve"> рядом, что руку немца он </t>
  </si>
  <si>
    <t>с поляковской рукой.  </t>
  </si>
  <si>
    <t>Василий Гроссман. Жизнь и судьба, часть 2 (1960) </t>
  </si>
  <si>
    <t>Жизнь и судьба, часть 2 </t>
  </si>
  <si>
    <r>
      <t xml:space="preserve">  Но сейчас он растерялся, его поразило, что, оглушённый и ослеплённый, он утешался, чувствуя немца рядом, что руку немца он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с поляковской рукой.  [Василий Гроссман. Жизнь и судьба, часть 2 (1960)] [омонимия снята]</t>
    </r>
  </si>
  <si>
    <t>театупс</t>
  </si>
  <si>
    <r>
      <t> 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> </t>
    </r>
  </si>
  <si>
    <t>Марина Зосимкина. Ты проснешься. Книга первая (2015) </t>
  </si>
  <si>
    <t>Марина Зосимкина </t>
  </si>
  <si>
    <t>Ты проснешься. Книга первая </t>
  </si>
  <si>
    <t>2015 </t>
  </si>
  <si>
    <t>М. Зосимкина. Ты проснешься. Монреаль: Accent Graphics Communications </t>
  </si>
  <si>
    <t>омонимия не снята</t>
  </si>
  <si>
    <t> ен ыб монацап с откин</t>
  </si>
  <si>
    <t xml:space="preserve"> никто с пацаном бы не </t>
  </si>
  <si>
    <r>
      <t xml:space="preserve">  Естественно, Катя была тут не единственная девушка-стрелок, но, к примеру, у Олеси этих проблем не было, поскольку Олеся имела такие ярко выраженные формы ― что сзади, что сбоку, что спереди, ― что даже в одеянии буддийского монаха ее никто с пацаном бы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[Марина Зосимкина. Ты проснешься. Книга первая (2015)] [омонимия не снята]</t>
    </r>
  </si>
  <si>
    <t>:  </t>
  </si>
  <si>
    <t>техника </t>
  </si>
  <si>
    <t>Дина Рубина </t>
  </si>
  <si>
    <t>1953 </t>
  </si>
  <si>
    <t> ен меч с ин йыроток</t>
  </si>
  <si>
    <t xml:space="preserve"> который ни с чем не </t>
  </si>
  <si>
    <t>форум </t>
  </si>
  <si>
    <t>публицистика ,  нехудожественная </t>
  </si>
  <si>
    <t>«Знание - сила» </t>
  </si>
  <si>
    <t>1965 </t>
  </si>
  <si>
    <t>Евгений Чижов </t>
  </si>
  <si>
    <t> язянк огокилев оготэ либу йевоныс</t>
  </si>
  <si>
    <t xml:space="preserve"> сыновей убил этого великого князя) </t>
  </si>
  <si>
    <t>всё.  </t>
  </si>
  <si>
    <t>Лариса Васильева. Озарённая // «Наука и религия», 2011 </t>
  </si>
  <si>
    <t>Лариса Васильева </t>
  </si>
  <si>
    <t>Озарённая </t>
  </si>
  <si>
    <t>2011 </t>
  </si>
  <si>
    <t>«Наука и религия» </t>
  </si>
  <si>
    <r>
      <t xml:space="preserve"> Едва успел встать на праведный путь князь Владимир Красное Солнышко, едва осенил он крестом Днепр, его берега, народ окрестный и себя, как злоба, зависть, алчность потомков (по слухам, один из сыновей убил этого великого князя)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всё.  [Лариса Васильева. Озарённая // «Наука и религия», 2011] [омонимия не снята]</t>
    </r>
  </si>
  <si>
    <t>Дина Сабитова </t>
  </si>
  <si>
    <t>2007 </t>
  </si>
  <si>
    <t>1970 </t>
  </si>
  <si>
    <t>юатупс</t>
  </si>
  <si>
    <r>
      <t> 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> </t>
    </r>
  </si>
  <si>
    <t>«Наука и жизнь» </t>
  </si>
  <si>
    <t>…  </t>
  </si>
  <si>
    <t>«Родина» </t>
  </si>
  <si>
    <t>история, политика и общественная жизнь </t>
  </si>
  <si>
    <t>1935 </t>
  </si>
  <si>
    <t>мемуары </t>
  </si>
  <si>
    <t>1954 </t>
  </si>
  <si>
    <t>сказка </t>
  </si>
  <si>
    <t> ен оге отч каТ </t>
  </si>
  <si>
    <t xml:space="preserve">  Так что его не </t>
  </si>
  <si>
    <t>ни с кем.  </t>
  </si>
  <si>
    <t>Евгений Сухов. Делу конец -- сроку начало (2007) </t>
  </si>
  <si>
    <t>Евгений Сухов </t>
  </si>
  <si>
    <t>Делу конец -- сроку начало </t>
  </si>
  <si>
    <t>Е. Е. Сухов. Делу конец -- сроку начало </t>
  </si>
  <si>
    <r>
      <t xml:space="preserve"> Так что его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ни с кем.  [Евгений Сухов. Делу конец -- сроку начало (2007)] [омонимия не снята]</t>
    </r>
  </si>
  <si>
    <t> ен ьдеВ </t>
  </si>
  <si>
    <t xml:space="preserve">  Ведь не </t>
  </si>
  <si>
    <t>между собой даже звучащие на </t>
  </si>
  <si>
    <t>Д. Меркулов. Концертный зал в квартире // «Наука и жизнь», 2006 </t>
  </si>
  <si>
    <t>Д. Меркулов </t>
  </si>
  <si>
    <t>Концертный зал в квартире </t>
  </si>
  <si>
    <t>2006 </t>
  </si>
  <si>
    <t>производственно-техническая ,  нехудожественная </t>
  </si>
  <si>
    <r>
      <t xml:space="preserve"> Ведь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между собой даже звучащие на одной ноте, скажем, скрипку и гобой или гитару и фортепьяно.  [Д. Меркулов. Концертный зал в квартире // «Наука и жизнь», 2006] [омонимия не снята]</t>
    </r>
  </si>
  <si>
    <t>монография </t>
  </si>
  <si>
    <t>1957 </t>
  </si>
  <si>
    <t>«Знамя» </t>
  </si>
  <si>
    <t>бы ни с каким другим </t>
  </si>
  <si>
    <t>2005 </t>
  </si>
  <si>
    <t>Елена Топильская </t>
  </si>
  <si>
    <t>2004 </t>
  </si>
  <si>
    <t>учебно-научная ,  нехудожественная </t>
  </si>
  <si>
    <t>Владимир Соловьев </t>
  </si>
  <si>
    <t>Галина Шергова </t>
  </si>
  <si>
    <t>армия и вооруженные конфликты </t>
  </si>
  <si>
    <t>частная жизнь </t>
  </si>
  <si>
    <t>Форум на eva.ru </t>
  </si>
  <si>
    <t> ен мек с ин янем</t>
  </si>
  <si>
    <t xml:space="preserve"> меня ни с кем не </t>
  </si>
  <si>
    <t>Красота, здоровье, отдых: Косметика и парфюм (форум) (2004) </t>
  </si>
  <si>
    <t>Красота, здоровье, отдых: Косметика и парфюм (форум) </t>
  </si>
  <si>
    <t>бытовая ,  нехудожественная </t>
  </si>
  <si>
    <t>письмо личное </t>
  </si>
  <si>
    <t>1932 </t>
  </si>
  <si>
    <t>«Звезда» </t>
  </si>
  <si>
    <t>наука и технологии </t>
  </si>
  <si>
    <t>путешествия </t>
  </si>
  <si>
    <t>?»  </t>
  </si>
  <si>
    <t>Анатолий Найман. Все и каждый // «Октябрь», 2003 </t>
  </si>
  <si>
    <t>Анатолий Найман </t>
  </si>
  <si>
    <t>1936 </t>
  </si>
  <si>
    <t>Все и каждый </t>
  </si>
  <si>
    <t>Мария Рыбакова </t>
  </si>
  <si>
    <t>Юрий Азаров </t>
  </si>
  <si>
    <t>единожды услышав, ― это был крик </t>
  </si>
  <si>
    <t>Василий Голованов. Остров, или оправдание бессмысленных путешествий (2002) </t>
  </si>
  <si>
    <t>Василий Голованов </t>
  </si>
  <si>
    <t>Остров, или оправдание бессмысленных путешествий </t>
  </si>
  <si>
    <t>В. Голованов. Остров, или оправдание бессмысленных путешествий </t>
  </si>
  <si>
    <r>
      <t xml:space="preserve"> Я начал подниматься наверх, как вдруг услышал крик, который ни с чем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, единожды услышав, ― это был крик сокола-сапсана!  [Василий Голованов. Остров, или оправдание бессмысленных путешествий (2002)] [омонимия не снята]</t>
    </r>
  </si>
  <si>
    <t>Евгения Данилова </t>
  </si>
  <si>
    <t>Дмитрий Емец </t>
  </si>
  <si>
    <t>Михаил Панин. Камикадзе // «Звезда», 2002 </t>
  </si>
  <si>
    <t>Михаил Панин </t>
  </si>
  <si>
    <t>Камикадзе </t>
  </si>
  <si>
    <t> ен сав я мек с</t>
  </si>
  <si>
    <t xml:space="preserve"> с кем я вас не </t>
  </si>
  <si>
    <t>говорит.  </t>
  </si>
  <si>
    <r>
      <t xml:space="preserve">  ― Ни с кем я вас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― говорит.  [Михаил Панин. Камикадзе // «Звезда», 2002] [омонимия не снята]</t>
    </r>
  </si>
  <si>
    <t>Роман Солнцев </t>
  </si>
  <si>
    <t>Анатолий Трушкин. 208 избранных страниц (1990-2002) </t>
  </si>
  <si>
    <t>Анатолий Трушкин </t>
  </si>
  <si>
    <t>1941 </t>
  </si>
  <si>
    <t>208 избранных страниц </t>
  </si>
  <si>
    <t>1990-2002 </t>
  </si>
  <si>
    <t>миниатюра </t>
  </si>
  <si>
    <t>Анатолий Трушкин. 208 избранных страниц </t>
  </si>
  <si>
    <t>1999 </t>
  </si>
  <si>
    <t>дневник, записные книжки </t>
  </si>
  <si>
    <t> ен миьч с ин солог</t>
  </si>
  <si>
    <t xml:space="preserve"> голос ни с чьим не </t>
  </si>
  <si>
    <t>Михаил Чулаки. Примус // «Звезда», 2002 </t>
  </si>
  <si>
    <t>Михаил Чулаки </t>
  </si>
  <si>
    <t>Примус </t>
  </si>
  <si>
    <r>
      <t xml:space="preserve">  Как будто он и сам не узнал бы Шурку ― его голос ни с чьим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>.  [Михаил Чулаки. Примус // «Звезда», 2002] [омонимия не снята]</t>
    </r>
  </si>
  <si>
    <t>1913 </t>
  </si>
  <si>
    <t>М. Л. Гаспаров </t>
  </si>
  <si>
    <t>Борис Екимов </t>
  </si>
  <si>
    <t> ыб окьлот ен но утуним</t>
  </si>
  <si>
    <t xml:space="preserve"> минуту он не только бы </t>
  </si>
  <si>
    <t>ароматические букеты одного, другого… пятого </t>
  </si>
  <si>
    <t>Андрей Измайлов. Трюкач (2001) </t>
  </si>
  <si>
    <t>Андрей Измайлов </t>
  </si>
  <si>
    <t>Трюкач </t>
  </si>
  <si>
    <t>Андрей Измайлов. Трюкач </t>
  </si>
  <si>
    <r>
      <t xml:space="preserve">  Но в сию минуту он не только бы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ароматические букеты одного, другого… пятого, он, хлебни глоток, не отличил бы вкус и запах от скипидара-ацетона.  [Андрей Измайлов. Трюкач (2001)] [омонимия не снята]</t>
    </r>
  </si>
  <si>
    <t>Александр Михайлов </t>
  </si>
  <si>
    <t>1958 </t>
  </si>
  <si>
    <t> умомидив-оп мотэ ирП </t>
  </si>
  <si>
    <t xml:space="preserve">  При этом, по-видимому, </t>
  </si>
  <si>
    <t>русское зарубежье с зарубежьем вообще </t>
  </si>
  <si>
    <t>Ольга Славникова. Ландшафты хеппи-энда // «Октябрь», 2001 </t>
  </si>
  <si>
    <t>Ольга Славникова </t>
  </si>
  <si>
    <t>Ландшафты хеппи-энда </t>
  </si>
  <si>
    <r>
      <t xml:space="preserve"> При этом, по-видимому,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русское зарубежье с зарубежьем вообще, а «возвращенную» литературу с тем, что реально овладевает умами по ту сторону рухнувшего железного занавеса.  [Ольга Славникова. Ландшафты хеппи-энда // «Октябрь», 2001] [омонимия не снята]</t>
    </r>
  </si>
  <si>
    <t xml:space="preserve"> ―  </t>
  </si>
  <si>
    <t>Леонид Юзефович </t>
  </si>
  <si>
    <t>1962 </t>
  </si>
  <si>
    <t> ен никшыМ йыроток солог йикснеж</t>
  </si>
  <si>
    <t xml:space="preserve"> женский голос, который Мышкин не </t>
  </si>
  <si>
    <t>Вера Белоусова. Жил на свете рыцарь бедный (2000) </t>
  </si>
  <si>
    <t>Вера Белоусова </t>
  </si>
  <si>
    <t>Жил на свете рыцарь бедный </t>
  </si>
  <si>
    <t>Вера Белоусова. «Жил на свете рыцарь бедный» </t>
  </si>
  <si>
    <r>
      <t xml:space="preserve">  ― Я хотела бы поговорить с… господином Мышкиным, ― с легкой запинкой произнес женский голос, который Мышкин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бы ни с каким другим.  [Вера Белоусова. Жил на свете рыцарь бедный (2000)] [омонимия не снята]</t>
    </r>
  </si>
  <si>
    <t>1990-2000 </t>
  </si>
  <si>
    <t>Новелла Иванова </t>
  </si>
  <si>
    <t>Максим Милованов </t>
  </si>
  <si>
    <t> ииссоР в яицюловеР  онечноказ олыб</t>
  </si>
  <si>
    <t xml:space="preserve"> было закончено.  Революция в России </t>
  </si>
  <si>
    <t>все карты.  В феврале 1917 </t>
  </si>
  <si>
    <t>Александр Филюшкин. Рус, не спи в гробу! // «Родина», 2000 </t>
  </si>
  <si>
    <t>Александр Филюшкин </t>
  </si>
  <si>
    <t>Рус, не спи в гробу! </t>
  </si>
  <si>
    <r>
      <t xml:space="preserve">  Противостояние германских разведок и русской контрразведки в годы Первой мировой не было закончено.  Революция в России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 xml:space="preserve"> все карты.  В феврале 1917 года из Петроградской тюрьмы было выпущено, несмотря на все протесты контрразведки, 97 человек, арестованных по обвинению в сотрудничестве с врагом.  [Александр Филюшкин. Рус, не спи в гробу! // «Родина», 2000] [омонимия не снята]</t>
    </r>
  </si>
  <si>
    <t> азок укверев яавичароку мозар мыджак</t>
  </si>
  <si>
    <t xml:space="preserve"> каждым разом укорачивая веревку, коза </t>
  </si>
  <si>
    <t>себе в конце концов все </t>
  </si>
  <si>
    <t>Асар Эппель. Леонидова победа (1990-2000) </t>
  </si>
  <si>
    <t>Асар Эппель </t>
  </si>
  <si>
    <t>Леонидова победа </t>
  </si>
  <si>
    <t>Асар Эппель. Шампиньон моей жизни </t>
  </si>
  <si>
    <r>
      <t xml:space="preserve"> И если проделать все как надо, то, с каждым разом укорачивая веревку, коза </t>
    </r>
    <r>
      <rPr>
        <b/>
        <sz val="11"/>
        <rFont val="Calibri"/>
        <family val="2"/>
        <charset val="204"/>
      </rPr>
      <t>спутает</t>
    </r>
    <r>
      <rPr>
        <sz val="11"/>
        <rFont val="Calibri"/>
        <family val="2"/>
        <charset val="204"/>
      </rPr>
      <t xml:space="preserve"> себе в конце концов все четыре ноги и неподвижно встанет или повалится, но истошно примется блеять, а ты уходишь куда шел, и выходит в очках Юливанна распутывать козьи ножки, а тут как раз, дымя козьей ножкой, идет Порфирий Петрович Государев и говорит: «Разводила бы ты, соседка, как вот я,живую  белую мышь для одного институту, и коза ― ну ее в жердь, и жалованье дают, и крупа тебе остается!»  [Асар Эппель. Леонидова победа (1990-2000)] [омонимия не снята]</t>
    </r>
  </si>
  <si>
    <t>Андрей Белянин </t>
  </si>
  <si>
    <t>1967 </t>
  </si>
  <si>
    <t>Василий Катанян </t>
  </si>
  <si>
    <t> ен огондо ин и огогурд</t>
  </si>
  <si>
    <t xml:space="preserve"> другого; и ни одного не </t>
  </si>
  <si>
    <t>с другим.  </t>
  </si>
  <si>
    <t>М. Л. Гаспаров. Занимательная Греция (1998) </t>
  </si>
  <si>
    <t>Занимательная Греция </t>
  </si>
  <si>
    <t>наука и технологии, история, искусство и культура </t>
  </si>
  <si>
    <t>М. Л. Гаспаров. Занимательная Греция </t>
  </si>
  <si>
    <r>
      <t xml:space="preserve">  Пять поэтов, пять отрывков, один короче другого; и ни одного не </t>
    </r>
    <r>
      <rPr>
        <b/>
        <sz val="11"/>
        <rFont val="Calibri"/>
        <family val="2"/>
        <charset val="204"/>
      </rPr>
      <t>спутаешь</t>
    </r>
    <r>
      <rPr>
        <sz val="11"/>
        <rFont val="Calibri"/>
        <family val="2"/>
        <charset val="204"/>
      </rPr>
      <t xml:space="preserve"> с другим.  [М. Л. Гаспаров. Занимательная Греция (1998)] [омонимия не снята]</t>
    </r>
  </si>
  <si>
    <t>Сергей Осипов </t>
  </si>
  <si>
    <t>Сергей Осипов. Страсти по Фоме </t>
  </si>
  <si>
    <t>Сергей Осипов. Страсти по Фоме. Книга третья. Книга Перемен (1998) </t>
  </si>
  <si>
    <t>Страсти по Фоме. Книга третья. Книга Перемен </t>
  </si>
  <si>
    <t>Сергей Юрский </t>
  </si>
  <si>
    <t>Юрский С. Содержимое ящика </t>
  </si>
  <si>
    <t>Александра Маринина </t>
  </si>
  <si>
    <t>Д. С. Лихачев </t>
  </si>
  <si>
    <t>Сергей Солоух. Клуб одиноких сердец унтера Пришибеева (1991-1995) </t>
  </si>
  <si>
    <t>Сергей Солоух </t>
  </si>
  <si>
    <t>Клуб одиноких сердец унтера Пришибеева </t>
  </si>
  <si>
    <t>1991-1995 </t>
  </si>
  <si>
    <t>Сергей Солоух. Клуб одиноких сердец унтера Пришибеева </t>
  </si>
  <si>
    <t> илсым укылатнап с либс имигортс</t>
  </si>
  <si>
    <t xml:space="preserve"> строгими сбил с панталыку, мысли </t>
  </si>
  <si>
    <t>суровым, грозным:  </t>
  </si>
  <si>
    <r>
      <t xml:space="preserve">  Хорошо, Шурка Лыткин, одноклассник, фэн, свидетель и участник «тех самых» развеселых танцев, студент-механик ныне, как раз в этот самый вечер дежурил в раздевалке, услышал шум, из амбразуры выскочил, оттер майора отставного, словами правильными, строгими сбил с панталыку, мысли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, суровым, грозным:  [Сергей Солоух. Клуб одиноких сердец унтера Пришибеева (1991-1995)] [омонимия не снята]</t>
    </r>
  </si>
  <si>
    <t>1993 </t>
  </si>
  <si>
    <t>1991 </t>
  </si>
  <si>
    <t>Анна Ларина (Бухарина). Незабываемое (1986-1990) </t>
  </si>
  <si>
    <t>Анна Ларина (Бухарина) </t>
  </si>
  <si>
    <t>1914 </t>
  </si>
  <si>
    <t>Незабываемое </t>
  </si>
  <si>
    <t>1986-1990 </t>
  </si>
  <si>
    <t>Анна Ларина-Бухарина. Незабываемое </t>
  </si>
  <si>
    <t> я ен отЭ </t>
  </si>
  <si>
    <t xml:space="preserve">   ― Это не я </t>
  </si>
  <si>
    <t>это он перепутал.  </t>
  </si>
  <si>
    <r>
      <t xml:space="preserve">  ― Это не я </t>
    </r>
    <r>
      <rPr>
        <b/>
        <sz val="11"/>
        <rFont val="Calibri"/>
        <family val="2"/>
        <charset val="204"/>
      </rPr>
      <t>спутала</t>
    </r>
    <r>
      <rPr>
        <sz val="11"/>
        <rFont val="Calibri"/>
        <family val="2"/>
        <charset val="204"/>
      </rPr>
      <t>, это он перепутал.  [Анна Ларина (Бухарина). Незабываемое (1986-1990)] [омонимия не снята]</t>
    </r>
  </si>
  <si>
    <t>Фазиль Искандер. Сандро из Чегема (Книга 3) (1989) </t>
  </si>
  <si>
    <t>Сандро из Чегема (Книга 3) </t>
  </si>
  <si>
    <t>Ф. А. Искандер. «Сандро из Чегема». Кн. 3 </t>
  </si>
  <si>
    <t> уме авонс хутсаП </t>
  </si>
  <si>
    <t xml:space="preserve">   Пастух снова ему </t>
  </si>
  <si>
    <t>ноги, но он уже не </t>
  </si>
  <si>
    <r>
      <t xml:space="preserve">  Пастух снова ему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ноги, но он уже не собирался выпрыгивать из машины.  [Фазиль Искандер. Сандро из Чегема (Книга 3) (1989)] [омонимия не снята]</t>
    </r>
  </si>
  <si>
    <t>1955 </t>
  </si>
  <si>
    <t> ен овтсещус еокакин йыроток йызугрук</t>
  </si>
  <si>
    <t xml:space="preserve"> кургузый, который никакое существо не </t>
  </si>
  <si>
    <t>бы с настоящим куриным яйцом </t>
  </si>
  <si>
    <t>В. А. Солоухин. Смех за левым плечом (1989) </t>
  </si>
  <si>
    <t>В. А. Солоухин </t>
  </si>
  <si>
    <t>Смех за левым плечом </t>
  </si>
  <si>
    <t>Солоухин В. А. Смех за левым плечом: Книга прозы </t>
  </si>
  <si>
    <r>
      <t xml:space="preserve"> В ямке подкладыш ― яйцо, сшитое из белой тряпочки, продолговатый мячик, набитый ватой, угловатый, кургузый, который никакое существо не </t>
    </r>
    <r>
      <rPr>
        <b/>
        <sz val="11"/>
        <rFont val="Calibri"/>
        <family val="2"/>
        <charset val="204"/>
      </rPr>
      <t>спутало</t>
    </r>
    <r>
      <rPr>
        <sz val="11"/>
        <rFont val="Calibri"/>
        <family val="2"/>
        <charset val="204"/>
      </rPr>
      <t xml:space="preserve">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</t>
    </r>
  </si>
  <si>
    <t>1925 </t>
  </si>
  <si>
    <t>Евгений Велтистов </t>
  </si>
  <si>
    <t>1985 </t>
  </si>
  <si>
    <t> кичтадереп телиб йовс ан тевто</t>
  </si>
  <si>
    <t xml:space="preserve"> ответ на свой билет, передатчик </t>
  </si>
  <si>
    <t>канал и в двоичном коде </t>
  </si>
  <si>
    <t>Параллель // «Студенческий меридиан», 1985 </t>
  </si>
  <si>
    <t>Параллель </t>
  </si>
  <si>
    <t>«Студенческий меридиан» </t>
  </si>
  <si>
    <r>
      <t xml:space="preserve"> ― Когда я настроился, чтобы получить ответ на свой билет, передатчик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 xml:space="preserve"> канал и в двоичном коде стал выдавать мне положительные черты Наташи Ростовой и отрицательные ― Ноздрева, а затем и вовсе замолчал.  [Параллель // «Студенческий меридиан», 1985] [омонимия не снята]</t>
    </r>
  </si>
  <si>
    <t>Аркадий Стругацкий, Борис Стругацкий </t>
  </si>
  <si>
    <t>1925, 1933 </t>
  </si>
  <si>
    <t>1895 </t>
  </si>
  <si>
    <t>Василий Аксенов </t>
  </si>
  <si>
    <t>Виктор Конецкий. Вчерашние заботы (1979) </t>
  </si>
  <si>
    <t>Виктор Конецкий </t>
  </si>
  <si>
    <t>Вчерашние заботы </t>
  </si>
  <si>
    <t>Конецкий В. Начало конца комедии </t>
  </si>
  <si>
    <t> тежоМ  аледис апарт у монофоскас</t>
  </si>
  <si>
    <t xml:space="preserve"> саксофоном у трапа сидела.   ― Может, </t>
  </si>
  <si>
    <t xml:space="preserve"> У нее корнет-а-пистон.  </t>
  </si>
  <si>
    <r>
      <t xml:space="preserve">  ― А я на судно приехал, она с саксофоном у трапа сидела.   ― Может,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?  У нее корнет-а-пистон.  [Виктор Конецкий. Вчерашние заботы (1979)] [омонимия не снята]</t>
    </r>
  </si>
  <si>
    <t>Ю. М. Нагибин </t>
  </si>
  <si>
    <t>1975 </t>
  </si>
  <si>
    <t>1910 </t>
  </si>
  <si>
    <t>Анастас Микоян. Так было (1971-1974) </t>
  </si>
  <si>
    <t>Анастас Микоян </t>
  </si>
  <si>
    <t>Так было </t>
  </si>
  <si>
    <t>1971-1974 </t>
  </si>
  <si>
    <t>Анастас Микоян. Так было </t>
  </si>
  <si>
    <t> ончоран возохлок едяр в тяровоГ</t>
  </si>
  <si>
    <t xml:space="preserve"> Говорят, в ряде колхозов нарочно </t>
  </si>
  <si>
    <t>хорошее зерно с отходами, чтобы </t>
  </si>
  <si>
    <r>
      <t xml:space="preserve"> Говорят, в ряде колхозов нарочно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 xml:space="preserve">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</t>
    </r>
  </si>
  <si>
    <t>1908 </t>
  </si>
  <si>
    <t>Г. Данилова </t>
  </si>
  <si>
    <t> мокриц с ен мосач ее</t>
  </si>
  <si>
    <t xml:space="preserve"> ее часом не с цирком </t>
  </si>
  <si>
    <t>Г. Г. Демидов. Оборванный дуэт (1973) </t>
  </si>
  <si>
    <t>Г. Г. Демидов </t>
  </si>
  <si>
    <t>Оборванный дуэт </t>
  </si>
  <si>
    <r>
      <t xml:space="preserve"> ― Над щипачем, с воровскими целями посещавшим оперу, иронизировали: ― Ты ее часом не с цирком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?  [Г. Г. Демидов. Оборванный дуэт (1973)] [омонимия не снята]</t>
    </r>
  </si>
  <si>
    <t>образование </t>
  </si>
  <si>
    <t>1971 </t>
  </si>
  <si>
    <t>Юлий Даниэль. Письма из заключения (1966-1970) </t>
  </si>
  <si>
    <t>Юлий Даниэль </t>
  </si>
  <si>
    <t>Письма из заключения </t>
  </si>
  <si>
    <t>1966-1970 </t>
  </si>
  <si>
    <t>Юлий Даниэль. «Я всё сбиваюсь на литературу…» Письма из заключения. Стихи </t>
  </si>
  <si>
    <t>1899 </t>
  </si>
  <si>
    <t>Василий Белов </t>
  </si>
  <si>
    <t>А. Т. Твардовский </t>
  </si>
  <si>
    <t>бытовая, нехудожественная </t>
  </si>
  <si>
    <t> ен я жу от ьрепет</t>
  </si>
  <si>
    <t xml:space="preserve"> теперь-то уж я не </t>
  </si>
  <si>
    <t>ее ни с чем!  </t>
  </si>
  <si>
    <t>В. Д. Пришвина. Невидимый град (1962) </t>
  </si>
  <si>
    <t>В. Д. Пришвина </t>
  </si>
  <si>
    <t>Невидимый град </t>
  </si>
  <si>
    <t>художественная проза </t>
  </si>
  <si>
    <t>Пришвина В. Д. Невидимый град. М.: Молодая гвардия, 2003 </t>
  </si>
  <si>
    <r>
      <t xml:space="preserve"> Правда, Михаил Сергеевич мой «благодетель», но любви к нему, как бы я того ни желала, ничто не может во мне пробудить: теперь-то уж я не </t>
    </r>
    <r>
      <rPr>
        <b/>
        <sz val="11"/>
        <rFont val="Calibri"/>
        <family val="2"/>
        <charset val="204"/>
      </rPr>
      <t>спутаю</t>
    </r>
    <r>
      <rPr>
        <sz val="11"/>
        <rFont val="Calibri"/>
        <family val="2"/>
        <charset val="204"/>
      </rPr>
      <t xml:space="preserve"> ее ни с чем!  [В. Д. Пришвина. Невидимый град (1962)] [омонимия не снята]</t>
    </r>
  </si>
  <si>
    <t>Г. Е. Николаева </t>
  </si>
  <si>
    <t> и илашемс есв икинтупС </t>
  </si>
  <si>
    <t xml:space="preserve">   Спутники все смешали и </t>
  </si>
  <si>
    <t>все как-то вдруг устарело и </t>
  </si>
  <si>
    <t>А. Т. Твардовский. Из рабочих тетрадей (1957) // «Знамя», 1989 </t>
  </si>
  <si>
    <t>Из рабочих тетрадей </t>
  </si>
  <si>
    <r>
      <t xml:space="preserve">  Спутники все смешали и </t>
    </r>
    <r>
      <rPr>
        <b/>
        <sz val="11"/>
        <rFont val="Calibri"/>
        <family val="2"/>
        <charset val="204"/>
      </rPr>
      <t>спутали</t>
    </r>
    <r>
      <rPr>
        <sz val="11"/>
        <rFont val="Calibri"/>
        <family val="2"/>
        <charset val="204"/>
      </rPr>
      <t>, все как-то вдруг устарело и стало меньше ― особенно стихи.  [А. Т. Твардовский. Из рабочих тетрадей (1957) // «Знамя», 1989] [омонимия не снята]</t>
    </r>
  </si>
  <si>
    <t>C. П. Мельгунов </t>
  </si>
  <si>
    <t>Н. А. Оцуп </t>
  </si>
  <si>
    <t>Ю. П. Герман </t>
  </si>
  <si>
    <t>1952 </t>
  </si>
  <si>
    <t>Ю. Герман. Россия молодая. Книга 1 </t>
  </si>
  <si>
    <t>Ю. П. Герман. Россия молодая. Часть первая (1952) </t>
  </si>
  <si>
    <t>Россия молодая. Часть первая </t>
  </si>
  <si>
    <t> ен огечин откин ыботч мокдяроп</t>
  </si>
  <si>
    <t xml:space="preserve"> порядком, чтобы никто ничего не </t>
  </si>
  <si>
    <r>
      <t xml:space="preserve">  Полковник Снивин молчал, похлопывая коня рукой в перчатке с раструбом, смотрел за порядком, чтобы никто ничего не </t>
    </r>
    <r>
      <rPr>
        <b/>
        <sz val="11"/>
        <rFont val="Calibri"/>
        <family val="2"/>
        <charset val="204"/>
      </rPr>
      <t>спутал</t>
    </r>
    <r>
      <rPr>
        <sz val="11"/>
        <rFont val="Calibri"/>
        <family val="2"/>
        <charset val="204"/>
      </rPr>
      <t>.  [Ю. П. Герман. Россия молодая. Часть первая (1952)] [омонимия не снята]</t>
    </r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</si>
  <si>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</si>
  <si>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</si>
  <si>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илатупереП</t>
  </si>
  <si>
    <r>
      <t> 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 </t>
    </r>
  </si>
  <si>
    <t> тот отч авонакримеТ ьтаджебу лачан</t>
  </si>
  <si>
    <t>латупереп</t>
  </si>
  <si>
    <t xml:space="preserve"> начал убеждать Темирканова, что тот 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</si>
  <si>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</si>
  <si>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―  </t>
  </si>
  <si>
    <t>он всегда желанный гость на </t>
  </si>
  <si>
    <t>Сати Спивакова. Не всё (2002) </t>
  </si>
  <si>
    <t>Сати Спивакова </t>
  </si>
  <si>
    <t>Не всё </t>
  </si>
  <si>
    <t>Сати Спивакова. Не всё </t>
  </si>
  <si>
    <r>
      <t xml:space="preserve"> Володя начал убеждать Темирканова, что тот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― он всегда желанный гость на фестивале, но сам же и отказался от участия.  [Сати Спивакова. Не всё (2002)] [омонимия снята]</t>
    </r>
  </si>
  <si>
    <t>алатупереп</t>
  </si>
  <si>
    <r>
      <t> 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 </t>
    </r>
  </si>
  <si>
    <t>Вера Белоусова. Второй выстрел </t>
  </si>
  <si>
    <t>Андрей Волос </t>
  </si>
  <si>
    <t>олатупереп</t>
  </si>
  <si>
    <r>
      <t> 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> </t>
    </r>
  </si>
  <si>
    <t>театупереп</t>
  </si>
  <si>
    <r>
      <t> 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> </t>
    </r>
  </si>
  <si>
    <t>досуг, зрелища и развлечения </t>
  </si>
  <si>
    <t>Маша Трауб </t>
  </si>
  <si>
    <t>латупереП</t>
  </si>
  <si>
    <r>
      <t> 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 </t>
    </r>
  </si>
  <si>
    <t> икитваномсок йоннемервос илетавонсо ыцто илежуеН</t>
  </si>
  <si>
    <t xml:space="preserve"> Неужели отцы ― основатели современной космонавтики </t>
  </si>
  <si>
    <t>подарили нам не ключи от </t>
  </si>
  <si>
    <t>Александр Волков. Время вековых открытий еще впереди! // «Знание - сила», 2011 </t>
  </si>
  <si>
    <t>Александр Волков </t>
  </si>
  <si>
    <t>Время вековых открытий еще впереди! </t>
  </si>
  <si>
    <t>история, техника, наука и технологии, астрономия </t>
  </si>
  <si>
    <r>
      <t xml:space="preserve"> Неужели отцы ― основатели современной космонавтики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: подарили нам не ключи от седьмого неба, а ключи от пресловутого ящика Пандоры?  [Александр Волков. Время вековых открытий еще впереди! // «Знание - сила», 2011] [омонимия не снята]</t>
    </r>
  </si>
  <si>
    <t>Дарья Донцова </t>
  </si>
  <si>
    <t>2008-2010 </t>
  </si>
  <si>
    <t> ен умет ыт </t>
  </si>
  <si>
    <t xml:space="preserve">  [Женя, nick]   ты тему не </t>
  </si>
  <si>
    <t>ми говорим о СS.  </t>
  </si>
  <si>
    <t>коллективный. Форум: Серверные шутеры. CS 1.6 (2008-2010) </t>
  </si>
  <si>
    <t>Форум: Серверные шутеры. CS 1.6 </t>
  </si>
  <si>
    <r>
      <t xml:space="preserve"> [Женя, nick]   ты тему не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ми говорим о СS.  [коллективный. Форум: Серверные шутеры. CS 1.6 (2008-2010)] [омонимия не снята]</t>
    </r>
  </si>
  <si>
    <t>Андрей Геласимов </t>
  </si>
  <si>
    <t>Захар Прилепин. Санькя (2006) </t>
  </si>
  <si>
    <t>Захар Прилепин </t>
  </si>
  <si>
    <t>Санькя </t>
  </si>
  <si>
    <t>Захар Прилепин. Санькя </t>
  </si>
  <si>
    <r>
      <t xml:space="preserve">  ― Вы меня ни с кем не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[Захар Прилепин. Санькя (2006)] [омонимия не снята]</t>
    </r>
  </si>
  <si>
    <t>Анна Берсенева </t>
  </si>
  <si>
    <t>Владлен Давыдов </t>
  </si>
  <si>
    <t> молагуп с оге ыт отч</t>
  </si>
  <si>
    <t xml:space="preserve"> что ты его с пугалом </t>
  </si>
  <si>
    <t>Дарья Донцова. Доллары царя Гороха (2004) </t>
  </si>
  <si>
    <t>Доллары царя Гороха </t>
  </si>
  <si>
    <t>Дарья Донцова. Доллары царя Гороха </t>
  </si>
  <si>
    <r>
      <t xml:space="preserve"> ― То-то Дегтярев обрадуется, когда узнает, что ты его с пугалом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[Дарья Донцова. Доллары царя Гороха (2004)] [омонимия не снята]</t>
    </r>
  </si>
  <si>
    <t> мыротв ос оге акшувеД  аляноп</t>
  </si>
  <si>
    <t xml:space="preserve"> поняла.  Девушка его со вторым </t>
  </si>
  <si>
    <t xml:space="preserve"> Это во втором пробники Туморроу </t>
  </si>
  <si>
    <r>
      <t xml:space="preserve">  А, я поняла.  Девушка его со вторым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.  Это во втором пробники Туморроу давать будут.  [Красота, здоровье, отдых: Косметика и парфюм (форум) (2004)] [омонимия не снята]</t>
    </r>
  </si>
  <si>
    <t>Владимир Абаринов </t>
  </si>
  <si>
    <t> овтсьлетиварп отч ьтазакс ыб гом</t>
  </si>
  <si>
    <t xml:space="preserve"> мог бы сказать, что правительство </t>
  </si>
  <si>
    <t>порядок ходов.  </t>
  </si>
  <si>
    <t>Борис Вишневский. Двухпроцентная реформа // «Московские новости», 2003 </t>
  </si>
  <si>
    <t>Борис Вишневский </t>
  </si>
  <si>
    <t>Двухпроцентная реформа </t>
  </si>
  <si>
    <t>«Московские новости» </t>
  </si>
  <si>
    <r>
      <t xml:space="preserve"> Известный как один из самых сильных думских шахматистов, Жуков мог бы сказать, что правительство </t>
    </r>
    <r>
      <rPr>
        <b/>
        <sz val="11"/>
        <rFont val="Calibri"/>
        <family val="2"/>
        <charset val="204"/>
      </rPr>
      <t>перепутало</t>
    </r>
    <r>
      <rPr>
        <sz val="11"/>
        <rFont val="Calibri"/>
        <family val="2"/>
        <charset val="204"/>
      </rPr>
      <t xml:space="preserve"> порядок ходов.  [Борис Вишневский. Двухпроцентная реформа // «Московские новости», 2003] [омонимия не снята]</t>
    </r>
  </si>
  <si>
    <t>Белла Езерская </t>
  </si>
  <si>
    <t>Зоя Кошелева </t>
  </si>
  <si>
    <t> мывокивоН мигурд от-микак с оге</t>
  </si>
  <si>
    <t xml:space="preserve"> его с каким-то другим Новиковым </t>
  </si>
  <si>
    <t>из писателей, возможно…  </t>
  </si>
  <si>
    <r>
      <t xml:space="preserve"> Возможно, я его с каким-то другим Новиковым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― из писателей, возможно…  [Анатолий Найман. Все и каждый // «Октябрь», 2003] [омонимия не снята]</t>
    </r>
  </si>
  <si>
    <t> йуб еишведив ыбокя идюл отч</t>
  </si>
  <si>
    <t xml:space="preserve"> что люди, якобы видевшие буй, </t>
  </si>
  <si>
    <t>его с обыкновенной медузой, которые </t>
  </si>
  <si>
    <t>Владимир Саввин. Тайна зеленого буя (2002) // «Коммерсантъ-Власть», 2002.02.26 </t>
  </si>
  <si>
    <t>Владимир Саввин </t>
  </si>
  <si>
    <t>Тайна зеленого буя </t>
  </si>
  <si>
    <t>«Коммерсантъ-Власть» </t>
  </si>
  <si>
    <t>2002.02.26 </t>
  </si>
  <si>
    <r>
      <t xml:space="preserve"> Многократные допросы свидетелей показали, что люди, якобы видевшие буй,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его с обыкновенной медузой, которые летом нередко заходят в Баренцево море.  [Владимир Саввин. Тайна зеленого буя (2002) // «Коммерсантъ-Власть», 2002.02.26] [омонимия не снята]</t>
    </r>
  </si>
  <si>
    <t> ыритравк я а атыркто алыб</t>
  </si>
  <si>
    <t xml:space="preserve"> была открыта, а я квартиры </t>
  </si>
  <si>
    <t>ваша восьмая, а мне нужна </t>
  </si>
  <si>
    <r>
      <t xml:space="preserve"> Извините, у вас дверь была открыта, а я квартиры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ваша восьмая, а мне нужна четыреста сорок четвертая.  [Анатолий Трушкин. 208 избранных страниц (1990-2002)] [омонимия не снята]</t>
    </r>
  </si>
  <si>
    <t>Наталья Шмелькова </t>
  </si>
  <si>
    <t>Николай Климонтович </t>
  </si>
  <si>
    <t> икинбечУ  анелЕ пороК </t>
  </si>
  <si>
    <t xml:space="preserve">   Короп Елена.  Учебники </t>
  </si>
  <si>
    <t>с агитками.  Премьер-министром назначен Сергей </t>
  </si>
  <si>
    <t>Елена Короп. Учебники перепутали с агитками. Премьер-министром назначен Сергей Кириенко (2001) // «Известия», 2001.08.29 </t>
  </si>
  <si>
    <t>Елена Короп </t>
  </si>
  <si>
    <t>Учебники перепутали с агитками. Премьер-министром назначен Сергей Кириенко </t>
  </si>
  <si>
    <t>2001.08.29 </t>
  </si>
  <si>
    <r>
      <t xml:space="preserve">  Короп Елена.  Учебники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 xml:space="preserve"> с агитками.  Премьер-министром назначен Сергей Кириенко  [Елена Короп. Учебники перепутали с агитками. Премьер-министром назначен Сергей Кириенко (2001) // «Известия», 2001.08.29] [омонимия не снята]</t>
    </r>
  </si>
  <si>
    <t> я евтснаитсирх о икчомиС харовогзар</t>
  </si>
  <si>
    <t xml:space="preserve"> разговорах Симочки о христианстве я </t>
  </si>
  <si>
    <t>двух Марий: то, что там </t>
  </si>
  <si>
    <t>Зоя Масленикова. Разговоры с Пастернаком (2001) </t>
  </si>
  <si>
    <t>Зоя Масленикова </t>
  </si>
  <si>
    <t>Разговоры с Пастернаком </t>
  </si>
  <si>
    <t>Зоя Масленикова. Борис Пастернак. Встречи </t>
  </si>
  <si>
    <r>
      <t xml:space="preserve"> Сначала он удостоверился, что дверь закрыта, а потом вполголоса сообщил, что в разговорах Симочки о христианстве я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двух Марий: то, что там написано о Марии Магдалине, на самом деле относится к Марии Египетской.  [Зоя Масленикова. Разговоры с Пастернаком (2001)] [омонимия не снята]</t>
    </r>
  </si>
  <si>
    <t> отч ясляоб нО </t>
  </si>
  <si>
    <t xml:space="preserve">  Он боялся, что </t>
  </si>
  <si>
    <t>этот дом с другими, ведь </t>
  </si>
  <si>
    <t>Мария Рыбакова. Паннония // «Звезда», 2001 </t>
  </si>
  <si>
    <t>Паннония </t>
  </si>
  <si>
    <r>
      <t xml:space="preserve"> Он боялся, что </t>
    </r>
    <r>
      <rPr>
        <b/>
        <sz val="11"/>
        <rFont val="Calibri"/>
        <family val="2"/>
        <charset val="204"/>
      </rPr>
      <t>перепутает</t>
    </r>
    <r>
      <rPr>
        <sz val="11"/>
        <rFont val="Calibri"/>
        <family val="2"/>
        <charset val="204"/>
      </rPr>
      <t xml:space="preserve"> этот дом с другими, ведь он уже убедился, что вовсе не узнавал родные места мгновенно, и даже спустя долгое время все еще сомневался, туда ли он попал.  [Мария Рыбакова. Паннония // «Звезда», 2001] [омонимия не снята]</t>
    </r>
  </si>
  <si>
    <t> акьсюЛ илежуеН  я аламудоп </t>
  </si>
  <si>
    <t xml:space="preserve">  ― подумала я.  ― Неужели Люська </t>
  </si>
  <si>
    <t xml:space="preserve">  Я еще раз попыталась его </t>
  </si>
  <si>
    <t>Вера Белоусова. По субботам не стреляю (2000) </t>
  </si>
  <si>
    <t>По субботам не стреляю </t>
  </si>
  <si>
    <r>
      <t xml:space="preserve"> ― подумала я.  ― Неужели Люська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</t>
    </r>
  </si>
  <si>
    <t>Эдвард Радзинский </t>
  </si>
  <si>
    <t>  етещи огок ыВ </t>
  </si>
  <si>
    <t xml:space="preserve">  Вы кого ищете?  </t>
  </si>
  <si>
    <t xml:space="preserve"> Если вы к Ибрагиму, так </t>
  </si>
  <si>
    <t>Андрей Волос. Дом у реки // «Новый Мир», 1998 </t>
  </si>
  <si>
    <t>Дом у реки </t>
  </si>
  <si>
    <r>
      <t xml:space="preserve"> Вы кого ищете? 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Если вы к Ибрагиму, так он в город уехал.  [Андрей Волос. Дом у реки // «Новый Мир», 1998] [омонимия не снята]</t>
    </r>
  </si>
  <si>
    <t> заказ отч ыТ  йокур оге</t>
  </si>
  <si>
    <t xml:space="preserve"> его рукой.   ― Ты что… заказ </t>
  </si>
  <si>
    <t xml:space="preserve"> ― Внушительно посмотрел мэтр на нее </t>
  </si>
  <si>
    <r>
      <t xml:space="preserve">  Нина, вытирая руки, от предчувствия, о фиговый листок передника, появилась под его рукой.   ― Ты что… заказ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>?  ― Внушительно посмотрел мэтр на нее.  [Сергей Осипов. Страсти по Фоме. Книга третья. Книга Перемен (1998)] [омонимия не снята]</t>
    </r>
  </si>
  <si>
    <t> ежкат а унидерес в литсемереп</t>
  </si>
  <si>
    <t xml:space="preserve"> переместил в середину, а также </t>
  </si>
  <si>
    <t>последовательность всех остальных частей.  </t>
  </si>
  <si>
    <t>Никита Богословский. Заметки на полях шляпы (1997) </t>
  </si>
  <si>
    <t>Никита Богословский </t>
  </si>
  <si>
    <t>Заметки на полях шляпы </t>
  </si>
  <si>
    <t>Никита Богословский. Заметки на полях шляпы </t>
  </si>
  <si>
    <r>
      <t xml:space="preserve">  26 ноября на вечернем сеансе во время премьеры фильма «Академик Бурдасов» киномеханик г-н Разбитной, находясь в нетрезвом состоянии, при демонстрации картины дважды (в начале и в конце) показал последнюю часть, начальные титры переместил в середину, а также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 xml:space="preserve"> последовательность всех остальных частей.  [Никита Богословский. Заметки на полях шляпы (1997)] [омонимия не снята]</t>
    </r>
  </si>
  <si>
    <t> иревд ым тежоМ  илшов утанмок</t>
  </si>
  <si>
    <t xml:space="preserve"> комнату вошли?  Может, мы двери </t>
  </si>
  <si>
    <t xml:space="preserve">  ― Нет, я точно помню: это </t>
  </si>
  <si>
    <t>Валентин Постников. Карандаш и Самоделкин в стране фараонов (1997) </t>
  </si>
  <si>
    <t>Валентин Постников </t>
  </si>
  <si>
    <t>Карандаш и Самоделкин в стране фараонов </t>
  </si>
  <si>
    <t>Валентин Постников. Карандаш и Самоделкин в стране фараонов </t>
  </si>
  <si>
    <r>
      <t xml:space="preserve">  ― Сам не пойму, ― может быть, мы не в ту комнату вошли?  Может, мы двери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?   ― Нет, я точно помню: это та самая комната-ловушка, ― ответил уверенным тоном Дырка.  [Валентин Постников. Карандаш и Самоделкин в стране фараонов (1997)] [омонимия не снята]</t>
    </r>
  </si>
  <si>
    <t> яславрос от-едг от-отК </t>
  </si>
  <si>
    <t xml:space="preserve">  Кто-то где-то сорвался, </t>
  </si>
  <si>
    <t>не туда положил.  </t>
  </si>
  <si>
    <t>Сергей Юрский. Осенний бал (1993) </t>
  </si>
  <si>
    <t>Осенний бал </t>
  </si>
  <si>
    <t>письмо литературное </t>
  </si>
  <si>
    <r>
      <t xml:space="preserve"> Кто-то где-то сорвался,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не туда положил.  [Сергей Юрский. Осенний бал (1993)] [омонимия не снята]</t>
    </r>
  </si>
  <si>
    <t>  кат еж каК  ястюялвиду тюаха</t>
  </si>
  <si>
    <t xml:space="preserve"> ахают, удивляются:   ― Как же так…   ― </t>
  </si>
  <si>
    <t xml:space="preserve">  ― Забыл…   Крепко нас избили.  </t>
  </si>
  <si>
    <t>С. Л. Рябцева. Дети восьмидесятых (1989) </t>
  </si>
  <si>
    <t>С. Л. Рябцева </t>
  </si>
  <si>
    <t>Дети восьмидесятых </t>
  </si>
  <si>
    <t>С. Л. Рябцева. Дети восьмидесятых </t>
  </si>
  <si>
    <r>
      <t xml:space="preserve">  Молча показываю нелепицу ― ахают, удивляются:   ― Как же так…   ―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…   ― Забыл…   Крепко нас избили.  [С. Л. Рябцева. Дети восьмидесятых (1989)] [омонимия не снята]</t>
    </r>
  </si>
  <si>
    <t>Леонид Сапожников </t>
  </si>
  <si>
    <t>Василий Песков </t>
  </si>
  <si>
    <t>В. И. Аблазов </t>
  </si>
  <si>
    <t> ано иледиву имас и ым</t>
  </si>
  <si>
    <t xml:space="preserve"> мы и сами увидели, она </t>
  </si>
  <si>
    <t>все дела, с которыми сама </t>
  </si>
  <si>
    <t>Н. Н. Берберова. Железная женщина (1978-1980) </t>
  </si>
  <si>
    <t>Н. Н. Берберова </t>
  </si>
  <si>
    <t>1901 </t>
  </si>
  <si>
    <t>Железная женщина </t>
  </si>
  <si>
    <t>1978-1980 </t>
  </si>
  <si>
    <t>Н. Берберова. Желещная женщина </t>
  </si>
  <si>
    <r>
      <t xml:space="preserve"> Это мы и сами увидели, она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все дела, с которыми сама же к нам и обратилась.  [Н. Н. Берберова. Железная женщина (1978-1980)] [омонимия не снята]</t>
    </r>
  </si>
  <si>
    <t> акйалам и утнаб рген арап</t>
  </si>
  <si>
    <t xml:space="preserve"> пара ― негр банту и малайка ― </t>
  </si>
  <si>
    <t>полушария и явилась сюда покататься </t>
  </si>
  <si>
    <t>Аркадий Стругацкий, Борис Стругацкий. Жук в муравейнике (1979) </t>
  </si>
  <si>
    <t>Жук в муравейнике </t>
  </si>
  <si>
    <r>
      <t xml:space="preserve"> Эта пара ― негр банту и малайка ―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полушария и явилась сюда покататься, видите ли, на лыжах.  [Аркадий Стругацкий, Борис Стругацкий. Жук в муравейнике (1979)] [омонимия не снята]</t>
    </r>
  </si>
  <si>
    <t> отсорп ано обил вокаруД булК</t>
  </si>
  <si>
    <t xml:space="preserve"> Клуб Дураков; либо она просто </t>
  </si>
  <si>
    <t>Тредьяковского и Коллинза (или меня </t>
  </si>
  <si>
    <r>
      <t xml:space="preserve"> Возникло два предположения: либо это ― вступительный членский взнос от Наташки в Клуб Дураков; либо она просто </t>
    </r>
    <r>
      <rPr>
        <b/>
        <sz val="11"/>
        <rFont val="Calibri"/>
        <family val="2"/>
        <charset val="204"/>
      </rPr>
      <t>перепутала</t>
    </r>
    <r>
      <rPr>
        <sz val="11"/>
        <rFont val="Calibri"/>
        <family val="2"/>
        <charset val="204"/>
      </rPr>
      <t xml:space="preserve"> Тредьяковского и Коллинза (или меня и Футмана?  [Юлий Даниэль. Письма из заключения (1966-1970)] [омонимия не снята]</t>
    </r>
  </si>
  <si>
    <t> ынатш ад ьсилым ьтадив иовс</t>
  </si>
  <si>
    <t xml:space="preserve"> свои, ― видать, мылись да штаны </t>
  </si>
  <si>
    <t>Василий Белов. Привычное дело (1967) </t>
  </si>
  <si>
    <t>Привычное дело </t>
  </si>
  <si>
    <t>Василий Белов. Сельские повести </t>
  </si>
  <si>
    <r>
      <t xml:space="preserve"> Гляжу, штаны-то у меня не свои, ― видать, мылись да штаны </t>
    </r>
    <r>
      <rPr>
        <b/>
        <sz val="11"/>
        <rFont val="Calibri"/>
        <family val="2"/>
        <charset val="204"/>
      </rPr>
      <t>перепутали</t>
    </r>
    <r>
      <rPr>
        <sz val="11"/>
        <rFont val="Calibri"/>
        <family val="2"/>
        <charset val="204"/>
      </rPr>
      <t>.  [Василий Белов. Привычное дело (1967)] [омонимия не снята]</t>
    </r>
  </si>
  <si>
    <t> есв акрЮ отч от ан</t>
  </si>
  <si>
    <t xml:space="preserve"> на то, что Юрка все </t>
  </si>
  <si>
    <t>наоборот по сравнению с Юркой </t>
  </si>
  <si>
    <t>Я. Е. Харон. Злые песни Гийома дю Вентре (1965) // Я. Харон. Злые песни Гийома дю Вентре. Прозаический комментарий к поэтической биографии, 1989 </t>
  </si>
  <si>
    <t>Я. Е. Харон </t>
  </si>
  <si>
    <t>Злые песни Гийома дю Вентре </t>
  </si>
  <si>
    <t>Я. Харон. Злые песни Гийома дю Вентре. Прозаический комментарий к поэтической биографии </t>
  </si>
  <si>
    <r>
      <t xml:space="preserve"> Он стал сажать их, как ему представлялось, вверх тормашками, а я ― из тех же намерений, но только с поправкой на то, что Юрка все </t>
    </r>
    <r>
      <rPr>
        <b/>
        <sz val="11"/>
        <rFont val="Calibri"/>
        <family val="2"/>
        <charset val="204"/>
      </rPr>
      <t>перепутал</t>
    </r>
    <r>
      <rPr>
        <sz val="11"/>
        <rFont val="Calibri"/>
        <family val="2"/>
        <charset val="204"/>
      </rPr>
      <t>, ― наоборот по сравнению с Юркой.  [Я. Е. Харон. Злые песни Гийома дю Вентре (1965) // Я. Харон. Злые песни Гийома дю Вентре. Прозаический комментарий к поэтической биографии, 1989] [омонимия не снята]</t>
    </r>
  </si>
  <si>
    <t>М. С. Шагинян </t>
  </si>
  <si>
    <t>Названия строк</t>
  </si>
  <si>
    <t>(пусто)</t>
  </si>
  <si>
    <t>Общий итог</t>
  </si>
  <si>
    <t>Количество из Author</t>
  </si>
  <si>
    <t>Итог</t>
  </si>
  <si>
    <t>Названия столбцов</t>
  </si>
  <si>
    <t>PREFIX</t>
  </si>
  <si>
    <t>с</t>
  </si>
  <si>
    <t>пере</t>
  </si>
  <si>
    <t>TENSE</t>
  </si>
  <si>
    <t>прошедшее</t>
  </si>
  <si>
    <t>будущее</t>
  </si>
  <si>
    <t>PERSONNUMBER</t>
  </si>
  <si>
    <t>3 лицо мн.число</t>
  </si>
  <si>
    <t>2 лицо ед.число</t>
  </si>
  <si>
    <t>3 лицо ед.число</t>
  </si>
  <si>
    <t>1 лицо ед.число</t>
  </si>
  <si>
    <t>PARTICIPANT1</t>
  </si>
  <si>
    <t>лицо</t>
  </si>
  <si>
    <t>абстрактное лицо</t>
  </si>
  <si>
    <t>неопределённое лицо</t>
  </si>
  <si>
    <t>PARTICIPANT2</t>
  </si>
  <si>
    <t>PARTICIPANT3</t>
  </si>
  <si>
    <t>отсутствует</t>
  </si>
  <si>
    <t>неодушувлённый конкретный объект</t>
  </si>
  <si>
    <t>неодушевлённый конкретный объект</t>
  </si>
  <si>
    <t>абстрактный объект</t>
  </si>
  <si>
    <t>конкретное лицо</t>
  </si>
  <si>
    <t>абстарктные объекты</t>
  </si>
  <si>
    <t>Количество из TENSE</t>
  </si>
  <si>
    <t>Количество из PERSONNUMBER</t>
  </si>
  <si>
    <t>Количество из PARTICIPANT1</t>
  </si>
  <si>
    <t>Количество из PARTICIPANT2</t>
  </si>
  <si>
    <t>Количество из PARTICIPANT3</t>
  </si>
  <si>
    <t>Количество из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</si>
</sst>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u/>
      <sz val="11"/>
      <color theme="10"/>
      <name val="Calibri"/>
      <family val="2"/>
      <charset val="204"/>
    </font>
    <font>
      <u/>
      <sz val="11"/>
      <color theme="1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NumberFormat="1" applyFont="1" applyFill="1" applyBorder="1" applyAlignment="1" applyProtection="1"/>
    <xf numFmtId="0" fontId="2" fillId="0" borderId="0" xfId="0" applyFont="1" applyAlignment="1">
      <alignment horizontal="left" vertical="center"/>
    </xf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3">
    <cellStyle name="Гиперссылка" xfId="1" builtinId="8" hidden="1"/>
    <cellStyle name="Гиперссылка" xfId="3" builtinId="8" hidden="1"/>
    <cellStyle name="Гиперссылка" xfId="5" builtinId="8" hidden="1"/>
    <cellStyle name="Гиперссылка" xfId="7" builtinId="8" hidden="1"/>
    <cellStyle name="Гиперссылка" xfId="9" builtinId="8" hidden="1"/>
    <cellStyle name="Гиперссылка" xfId="11" builtinId="8" hidden="1"/>
    <cellStyle name="Обычный" xfId="0" builtinId="0" customBuiltin="1"/>
    <cellStyle name="Просмотренная гиперссылка" xfId="2" builtinId="9" hidden="1"/>
    <cellStyle name="Просмотренная гиперссылка" xfId="4" builtinId="9" hidden="1"/>
    <cellStyle name="Просмотренная гиперссылка" xfId="6" builtinId="9" hidden="1"/>
    <cellStyle name="Просмотренная гиперссылка" xfId="8" builtinId="9" hidden="1"/>
    <cellStyle name="Просмотренная гиперссылка" xfId="10" builtinId="9" hidden="1"/>
    <cellStyle name="Просмотренная гиперссылка" xfId="12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pivotCacheDefinition" Target="pivotCache/pivotCacheDefinition6.xml"/><Relationship Id="rId21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8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pivotCacheDefinition" Target="pivotCache/pivotCacheDefinition1.xml"/><Relationship Id="rId16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4.xml"/><Relationship Id="rId1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общее!$K$51:$S$51</c:f>
              <c:strCache>
                <c:ptCount val="1"/>
                <c:pt idx="0">
                  <c:v>2001  художественная  повесть    «Звезда»  2001  журнал  омонимия не снята  Он боялся, что перепутает этот дом с другими, ведь он уже убедился, что вовсе не узнавал родные места мгновенно, и даже спустя долгое время все еще сомневался, туда ли он попал.  [Мария Рыбакова. Паннония // «Звезда», 2001] [омонимия не снята]</c:v>
                </c:pt>
              </c:strCache>
            </c:strRef>
          </c:tx>
          <c:marker>
            <c:symbol val="none"/>
          </c:marker>
          <c:cat>
            <c:strRef>
              <c:f>общее!$T$1:$T$50</c:f>
              <c:strCache>
                <c:ptCount val="50"/>
                <c:pt idx="0">
                  <c:v>PREFIX</c:v>
                </c:pt>
                <c:pt idx="1">
                  <c:v>с</c:v>
                </c:pt>
                <c:pt idx="2">
                  <c:v>с</c:v>
                </c:pt>
                <c:pt idx="3">
                  <c:v>с</c:v>
                </c:pt>
                <c:pt idx="4">
                  <c:v>с</c:v>
                </c:pt>
                <c:pt idx="5">
                  <c:v>с</c:v>
                </c:pt>
                <c:pt idx="6">
                  <c:v>с</c:v>
                </c:pt>
                <c:pt idx="7">
                  <c:v>с</c:v>
                </c:pt>
                <c:pt idx="8">
                  <c:v>с</c:v>
                </c:pt>
                <c:pt idx="9">
                  <c:v>с</c:v>
                </c:pt>
                <c:pt idx="10">
                  <c:v>с</c:v>
                </c:pt>
                <c:pt idx="11">
                  <c:v>с</c:v>
                </c:pt>
                <c:pt idx="12">
                  <c:v>с</c:v>
                </c:pt>
                <c:pt idx="13">
                  <c:v>с</c:v>
                </c:pt>
                <c:pt idx="14">
                  <c:v>с</c:v>
                </c:pt>
                <c:pt idx="15">
                  <c:v>с</c:v>
                </c:pt>
                <c:pt idx="16">
                  <c:v>с</c:v>
                </c:pt>
                <c:pt idx="17">
                  <c:v>с</c:v>
                </c:pt>
                <c:pt idx="18">
                  <c:v>с</c:v>
                </c:pt>
                <c:pt idx="19">
                  <c:v>с</c:v>
                </c:pt>
                <c:pt idx="20">
                  <c:v>с</c:v>
                </c:pt>
                <c:pt idx="21">
                  <c:v>с</c:v>
                </c:pt>
                <c:pt idx="22">
                  <c:v>с</c:v>
                </c:pt>
                <c:pt idx="23">
                  <c:v>с</c:v>
                </c:pt>
                <c:pt idx="24">
                  <c:v>с</c:v>
                </c:pt>
                <c:pt idx="25">
                  <c:v>с</c:v>
                </c:pt>
                <c:pt idx="26">
                  <c:v>пере</c:v>
                </c:pt>
                <c:pt idx="27">
                  <c:v>пере</c:v>
                </c:pt>
                <c:pt idx="28">
                  <c:v>пере</c:v>
                </c:pt>
                <c:pt idx="29">
                  <c:v>пере</c:v>
                </c:pt>
                <c:pt idx="30">
                  <c:v>пере</c:v>
                </c:pt>
                <c:pt idx="31">
                  <c:v>пере</c:v>
                </c:pt>
                <c:pt idx="32">
                  <c:v>пере</c:v>
                </c:pt>
                <c:pt idx="33">
                  <c:v>пере</c:v>
                </c:pt>
                <c:pt idx="34">
                  <c:v>пере</c:v>
                </c:pt>
                <c:pt idx="35">
                  <c:v>пере</c:v>
                </c:pt>
                <c:pt idx="36">
                  <c:v>пере</c:v>
                </c:pt>
                <c:pt idx="37">
                  <c:v>пере</c:v>
                </c:pt>
                <c:pt idx="38">
                  <c:v>пере</c:v>
                </c:pt>
                <c:pt idx="39">
                  <c:v>пере</c:v>
                </c:pt>
                <c:pt idx="40">
                  <c:v>пере</c:v>
                </c:pt>
                <c:pt idx="41">
                  <c:v>пере</c:v>
                </c:pt>
                <c:pt idx="42">
                  <c:v>пере</c:v>
                </c:pt>
                <c:pt idx="43">
                  <c:v>пере</c:v>
                </c:pt>
                <c:pt idx="44">
                  <c:v>пере</c:v>
                </c:pt>
                <c:pt idx="45">
                  <c:v>пере</c:v>
                </c:pt>
                <c:pt idx="46">
                  <c:v>пере</c:v>
                </c:pt>
                <c:pt idx="47">
                  <c:v>пере</c:v>
                </c:pt>
                <c:pt idx="48">
                  <c:v>пере</c:v>
                </c:pt>
                <c:pt idx="49">
                  <c:v>пере</c:v>
                </c:pt>
              </c:strCache>
            </c:strRef>
          </c:cat>
          <c:val>
            <c:numRef>
              <c:f>общее!$T$51</c:f>
              <c:numCache>
                <c:formatCode>General</c:formatCode>
                <c:ptCount val="1"/>
                <c:pt idx="0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3933464"/>
        <c:axId val="-2093932056"/>
      </c:lineChart>
      <c:catAx>
        <c:axId val="-209393346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3932056"/>
        <c:crosses val="autoZero"/>
        <c:auto val="1"/>
        <c:lblAlgn val="ctr"/>
        <c:lblOffset val="100"/>
        <c:noMultiLvlLbl val="0"/>
      </c:catAx>
      <c:valAx>
        <c:axId val="-2093932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3933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префтен!$B$4</c:f>
              <c:strCache>
                <c:ptCount val="1"/>
                <c:pt idx="0">
                  <c:v>будущее</c:v>
                </c:pt>
              </c:strCache>
            </c:strRef>
          </c:tx>
          <c:invertIfNegative val="0"/>
          <c:cat>
            <c:strRef>
              <c:f>префтен!$A$5:$A$7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Общий итог</c:v>
                </c:pt>
              </c:strCache>
            </c:strRef>
          </c:cat>
          <c:val>
            <c:numRef>
              <c:f>префтен!$B$5:$B$7</c:f>
              <c:numCache>
                <c:formatCode>General</c:formatCode>
                <c:ptCount val="3"/>
                <c:pt idx="0">
                  <c:v>1.0</c:v>
                </c:pt>
                <c:pt idx="1">
                  <c:v>7.0</c:v>
                </c:pt>
                <c:pt idx="2">
                  <c:v>8.0</c:v>
                </c:pt>
              </c:numCache>
            </c:numRef>
          </c:val>
        </c:ser>
        <c:ser>
          <c:idx val="1"/>
          <c:order val="1"/>
          <c:tx>
            <c:strRef>
              <c:f>префтен!$C$4</c:f>
              <c:strCache>
                <c:ptCount val="1"/>
                <c:pt idx="0">
                  <c:v>прошедшее</c:v>
                </c:pt>
              </c:strCache>
            </c:strRef>
          </c:tx>
          <c:invertIfNegative val="0"/>
          <c:cat>
            <c:strRef>
              <c:f>префтен!$A$5:$A$7</c:f>
              <c:strCache>
                <c:ptCount val="3"/>
                <c:pt idx="0">
                  <c:v>пере</c:v>
                </c:pt>
                <c:pt idx="1">
                  <c:v>с</c:v>
                </c:pt>
                <c:pt idx="2">
                  <c:v>Общий итог</c:v>
                </c:pt>
              </c:strCache>
            </c:strRef>
          </c:cat>
          <c:val>
            <c:numRef>
              <c:f>префтен!$C$5:$C$7</c:f>
              <c:numCache>
                <c:formatCode>General</c:formatCode>
                <c:ptCount val="3"/>
                <c:pt idx="0">
                  <c:v>24.0</c:v>
                </c:pt>
                <c:pt idx="1">
                  <c:v>18.0</c:v>
                </c:pt>
                <c:pt idx="2">
                  <c:v>42.0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9018824"/>
        <c:axId val="-2129015848"/>
      </c:barChart>
      <c:catAx>
        <c:axId val="-21290188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129015848"/>
        <c:crosses val="autoZero"/>
        <c:auto val="1"/>
        <c:lblAlgn val="ctr"/>
        <c:lblOffset val="100"/>
        <c:noMultiLvlLbl val="0"/>
      </c:catAx>
      <c:valAx>
        <c:axId val="-2129015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29018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ПЕРЕ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префпер!$A$5:$E$5</c:f>
              <c:numCache>
                <c:formatCode>General</c:formatCode>
                <c:ptCount val="5"/>
                <c:pt idx="0">
                  <c:v>0.0</c:v>
                </c:pt>
                <c:pt idx="2">
                  <c:v>1.0</c:v>
                </c:pt>
                <c:pt idx="3">
                  <c:v>17.0</c:v>
                </c:pt>
                <c:pt idx="4">
                  <c:v>7.0</c:v>
                </c:pt>
              </c:numCache>
            </c:numRef>
          </c:val>
        </c:ser>
        <c:ser>
          <c:idx val="1"/>
          <c:order val="1"/>
          <c:tx>
            <c:v>С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префпер!$A$6:$E$6</c:f>
              <c:numCache>
                <c:formatCode>General</c:formatCode>
                <c:ptCount val="5"/>
                <c:pt idx="0">
                  <c:v>0.0</c:v>
                </c:pt>
                <c:pt idx="1">
                  <c:v>1.0</c:v>
                </c:pt>
                <c:pt idx="2">
                  <c:v>5.0</c:v>
                </c:pt>
                <c:pt idx="3">
                  <c:v>14.0</c:v>
                </c:pt>
                <c:pt idx="4">
                  <c:v>5.0</c:v>
                </c:pt>
              </c:numCache>
            </c:numRef>
          </c:val>
        </c:ser>
        <c:ser>
          <c:idx val="2"/>
          <c:order val="2"/>
          <c:tx>
            <c:v>ОБЩИЙ ИТОГ</c:v>
          </c:tx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префпер!$A$7:$E$7</c:f>
              <c:numCache>
                <c:formatCode>General</c:formatCode>
                <c:ptCount val="5"/>
                <c:pt idx="0">
                  <c:v>0.0</c:v>
                </c:pt>
                <c:pt idx="1">
                  <c:v>1.0</c:v>
                </c:pt>
                <c:pt idx="2">
                  <c:v>6.0</c:v>
                </c:pt>
                <c:pt idx="3">
                  <c:v>31.0</c:v>
                </c:pt>
                <c:pt idx="4">
                  <c:v>12.0</c:v>
                </c:pt>
              </c:numCache>
            </c:numRef>
          </c:val>
        </c:ser>
        <c:ser>
          <c:idx val="3"/>
          <c:order val="3"/>
          <c:invertIfNegative val="0"/>
          <c:cat>
            <c:multiLvlStrRef>
              <c:f>префпер!$A$3:$E$4</c:f>
              <c:multiLvlStrCache>
                <c:ptCount val="5"/>
                <c:lvl>
                  <c:pt idx="0">
                    <c:v>Названия строк</c:v>
                  </c:pt>
                  <c:pt idx="1">
                    <c:v>1 лицо ед.число</c:v>
                  </c:pt>
                  <c:pt idx="2">
                    <c:v>2 лицо ед.число</c:v>
                  </c:pt>
                  <c:pt idx="3">
                    <c:v>3 лицо ед.число</c:v>
                  </c:pt>
                  <c:pt idx="4">
                    <c:v>3 лицо мн.число</c:v>
                  </c:pt>
                </c:lvl>
                <c:lvl>
                  <c:pt idx="0">
                    <c:v>Количество из PERSONNUMBER</c:v>
                  </c:pt>
                  <c:pt idx="1">
                    <c:v>Названия столбцов</c:v>
                  </c:pt>
                </c:lvl>
              </c:multiLvlStrCache>
            </c:multiLvlStrRef>
          </c:cat>
          <c:val>
            <c:numRef>
              <c:f>префпер!$A$8:$E$8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30070552"/>
        <c:axId val="-2107016120"/>
      </c:barChart>
      <c:catAx>
        <c:axId val="-21300705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7016120"/>
        <c:crosses val="autoZero"/>
        <c:auto val="1"/>
        <c:lblAlgn val="ctr"/>
        <c:lblOffset val="100"/>
        <c:noMultiLvlLbl val="0"/>
      </c:catAx>
      <c:valAx>
        <c:axId val="-2107016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30070552"/>
        <c:crosses val="autoZero"/>
        <c:crossBetween val="between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941107810452853"/>
          <c:y val="0.102606791338583"/>
          <c:w val="0.0511998469301716"/>
          <c:h val="0.747911417322835"/>
        </c:manualLayout>
      </c:layout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префпертен!$B$4</c:f>
              <c:strCache>
                <c:ptCount val="1"/>
                <c:pt idx="0">
                  <c:v>будущее</c:v>
                </c:pt>
              </c:strCache>
            </c:strRef>
          </c:tx>
          <c:invertIfNegative val="0"/>
          <c:cat>
            <c:strRef>
              <c:f>префпертен!$A$5:$A$14</c:f>
              <c:strCache>
                <c:ptCount val="10"/>
                <c:pt idx="0">
                  <c:v>пере</c:v>
                </c:pt>
                <c:pt idx="1">
                  <c:v>2 лицо ед.число</c:v>
                </c:pt>
                <c:pt idx="2">
                  <c:v>3 лицо ед.число</c:v>
                </c:pt>
                <c:pt idx="3">
                  <c:v>3 лицо мн.число</c:v>
                </c:pt>
                <c:pt idx="4">
                  <c:v>с</c:v>
                </c:pt>
                <c:pt idx="5">
                  <c:v>1 лицо ед.число</c:v>
                </c:pt>
                <c:pt idx="6">
                  <c:v>2 лицо ед.число</c:v>
                </c:pt>
                <c:pt idx="7">
                  <c:v>3 лицо ед.число</c:v>
                </c:pt>
                <c:pt idx="8">
                  <c:v>3 лицо мн.число</c:v>
                </c:pt>
                <c:pt idx="9">
                  <c:v>Общий итог</c:v>
                </c:pt>
              </c:strCache>
            </c:strRef>
          </c:cat>
          <c:val>
            <c:numRef>
              <c:f>префпертен!$B$5:$B$14</c:f>
              <c:numCache>
                <c:formatCode>General</c:formatCode>
                <c:ptCount val="10"/>
                <c:pt idx="0">
                  <c:v>1.0</c:v>
                </c:pt>
                <c:pt idx="1">
                  <c:v>1.0</c:v>
                </c:pt>
                <c:pt idx="4">
                  <c:v>7.0</c:v>
                </c:pt>
                <c:pt idx="5">
                  <c:v>1.0</c:v>
                </c:pt>
                <c:pt idx="6">
                  <c:v>4.0</c:v>
                </c:pt>
                <c:pt idx="7">
                  <c:v>2.0</c:v>
                </c:pt>
                <c:pt idx="9">
                  <c:v>8.0</c:v>
                </c:pt>
              </c:numCache>
            </c:numRef>
          </c:val>
        </c:ser>
        <c:ser>
          <c:idx val="1"/>
          <c:order val="1"/>
          <c:tx>
            <c:strRef>
              <c:f>префпертен!$C$4</c:f>
              <c:strCache>
                <c:ptCount val="1"/>
                <c:pt idx="0">
                  <c:v>прошедшее</c:v>
                </c:pt>
              </c:strCache>
            </c:strRef>
          </c:tx>
          <c:invertIfNegative val="0"/>
          <c:cat>
            <c:strRef>
              <c:f>префпертен!$A$5:$A$14</c:f>
              <c:strCache>
                <c:ptCount val="10"/>
                <c:pt idx="0">
                  <c:v>пере</c:v>
                </c:pt>
                <c:pt idx="1">
                  <c:v>2 лицо ед.число</c:v>
                </c:pt>
                <c:pt idx="2">
                  <c:v>3 лицо ед.число</c:v>
                </c:pt>
                <c:pt idx="3">
                  <c:v>3 лицо мн.число</c:v>
                </c:pt>
                <c:pt idx="4">
                  <c:v>с</c:v>
                </c:pt>
                <c:pt idx="5">
                  <c:v>1 лицо ед.число</c:v>
                </c:pt>
                <c:pt idx="6">
                  <c:v>2 лицо ед.число</c:v>
                </c:pt>
                <c:pt idx="7">
                  <c:v>3 лицо ед.число</c:v>
                </c:pt>
                <c:pt idx="8">
                  <c:v>3 лицо мн.число</c:v>
                </c:pt>
                <c:pt idx="9">
                  <c:v>Общий итог</c:v>
                </c:pt>
              </c:strCache>
            </c:strRef>
          </c:cat>
          <c:val>
            <c:numRef>
              <c:f>префпертен!$C$5:$C$14</c:f>
              <c:numCache>
                <c:formatCode>General</c:formatCode>
                <c:ptCount val="10"/>
                <c:pt idx="0">
                  <c:v>24.0</c:v>
                </c:pt>
                <c:pt idx="2">
                  <c:v>17.0</c:v>
                </c:pt>
                <c:pt idx="3">
                  <c:v>7.0</c:v>
                </c:pt>
                <c:pt idx="4">
                  <c:v>18.0</c:v>
                </c:pt>
                <c:pt idx="6">
                  <c:v>1.0</c:v>
                </c:pt>
                <c:pt idx="7">
                  <c:v>12.0</c:v>
                </c:pt>
                <c:pt idx="8">
                  <c:v>5.0</c:v>
                </c:pt>
                <c:pt idx="9">
                  <c:v>42.0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6827896"/>
        <c:axId val="-2096939432"/>
      </c:barChart>
      <c:catAx>
        <c:axId val="-209682789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6939432"/>
        <c:crosses val="autoZero"/>
        <c:auto val="1"/>
        <c:lblAlgn val="ctr"/>
        <c:lblOffset val="100"/>
        <c:noMultiLvlLbl val="0"/>
      </c:catAx>
      <c:valAx>
        <c:axId val="-2096939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6827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абстрактные объекты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префпар1!$B$5:$B$6</c:f>
              <c:numCache>
                <c:formatCode>General</c:formatCode>
                <c:ptCount val="2"/>
                <c:pt idx="1">
                  <c:v>1.0</c:v>
                </c:pt>
              </c:numCache>
            </c:numRef>
          </c:val>
        </c:ser>
        <c:ser>
          <c:idx val="1"/>
          <c:order val="1"/>
          <c:tx>
            <c:v>абстрактное 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префпар1!$C$5:$C$6</c:f>
              <c:numCache>
                <c:formatCode>General</c:formatCode>
                <c:ptCount val="2"/>
                <c:pt idx="1">
                  <c:v>8.0</c:v>
                </c:pt>
              </c:numCache>
            </c:numRef>
          </c:val>
        </c:ser>
        <c:ser>
          <c:idx val="2"/>
          <c:order val="2"/>
          <c:tx>
            <c:v>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префпар1!$D$5:$D$6</c:f>
              <c:numCache>
                <c:formatCode>General</c:formatCode>
                <c:ptCount val="2"/>
                <c:pt idx="0">
                  <c:v>20.0</c:v>
                </c:pt>
                <c:pt idx="1">
                  <c:v>12.0</c:v>
                </c:pt>
              </c:numCache>
            </c:numRef>
          </c:val>
        </c:ser>
        <c:ser>
          <c:idx val="3"/>
          <c:order val="3"/>
          <c:tx>
            <c:v>неопределённое лицо</c:v>
          </c:tx>
          <c:invertIfNegative val="0"/>
          <c:cat>
            <c:strRef>
              <c:f>префпар1!$A$5:$A$6</c:f>
              <c:strCache>
                <c:ptCount val="2"/>
                <c:pt idx="0">
                  <c:v>пере</c:v>
                </c:pt>
                <c:pt idx="1">
                  <c:v>с</c:v>
                </c:pt>
              </c:strCache>
            </c:strRef>
          </c:cat>
          <c:val>
            <c:numRef>
              <c:f>префпар1!$E$5:$E$6</c:f>
              <c:numCache>
                <c:formatCode>General</c:formatCode>
                <c:ptCount val="2"/>
                <c:pt idx="0">
                  <c:v>5.0</c:v>
                </c:pt>
                <c:pt idx="1">
                  <c:v>4.0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6400824"/>
        <c:axId val="-2092608824"/>
      </c:barChart>
      <c:catAx>
        <c:axId val="-20964008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2608824"/>
        <c:crosses val="autoZero"/>
        <c:auto val="1"/>
        <c:lblAlgn val="ctr"/>
        <c:lblOffset val="100"/>
        <c:noMultiLvlLbl val="0"/>
      </c:catAx>
      <c:valAx>
        <c:axId val="-2092608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6400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препар2!$A$5</c:f>
              <c:strCache>
                <c:ptCount val="1"/>
                <c:pt idx="0">
                  <c:v>пере</c:v>
                </c:pt>
              </c:strCache>
            </c:strRef>
          </c:tx>
          <c:invertIfNegative val="0"/>
          <c:cat>
            <c:strRef>
              <c:f>препар2!$B$4:$F$4</c:f>
              <c:strCache>
                <c:ptCount val="5"/>
                <c:pt idx="0">
                  <c:v>абстрактный объект</c:v>
                </c:pt>
                <c:pt idx="1">
                  <c:v>конкретное лицо</c:v>
                </c:pt>
                <c:pt idx="2">
                  <c:v>лицо</c:v>
                </c:pt>
                <c:pt idx="3">
                  <c:v>неодушувлённый конкретный объект</c:v>
                </c:pt>
                <c:pt idx="4">
                  <c:v>отсутствует</c:v>
                </c:pt>
              </c:strCache>
            </c:strRef>
          </c:cat>
          <c:val>
            <c:numRef>
              <c:f>препар2!$B$5:$F$5</c:f>
              <c:numCache>
                <c:formatCode>General</c:formatCode>
                <c:ptCount val="5"/>
                <c:pt idx="0">
                  <c:v>8.0</c:v>
                </c:pt>
                <c:pt idx="2">
                  <c:v>4.0</c:v>
                </c:pt>
                <c:pt idx="3">
                  <c:v>8.0</c:v>
                </c:pt>
                <c:pt idx="4">
                  <c:v>5.0</c:v>
                </c:pt>
              </c:numCache>
            </c:numRef>
          </c:val>
        </c:ser>
        <c:ser>
          <c:idx val="1"/>
          <c:order val="1"/>
          <c:tx>
            <c:strRef>
              <c:f>препар2!$A$6</c:f>
              <c:strCache>
                <c:ptCount val="1"/>
                <c:pt idx="0">
                  <c:v>с</c:v>
                </c:pt>
              </c:strCache>
            </c:strRef>
          </c:tx>
          <c:invertIfNegative val="0"/>
          <c:cat>
            <c:strRef>
              <c:f>препар2!$B$4:$F$4</c:f>
              <c:strCache>
                <c:ptCount val="5"/>
                <c:pt idx="0">
                  <c:v>абстрактный объект</c:v>
                </c:pt>
                <c:pt idx="1">
                  <c:v>конкретное лицо</c:v>
                </c:pt>
                <c:pt idx="2">
                  <c:v>лицо</c:v>
                </c:pt>
                <c:pt idx="3">
                  <c:v>неодушувлённый конкретный объект</c:v>
                </c:pt>
                <c:pt idx="4">
                  <c:v>отсутствует</c:v>
                </c:pt>
              </c:strCache>
            </c:strRef>
          </c:cat>
          <c:val>
            <c:numRef>
              <c:f>препар2!$B$6:$F$6</c:f>
              <c:numCache>
                <c:formatCode>General</c:formatCode>
                <c:ptCount val="5"/>
                <c:pt idx="0">
                  <c:v>11.0</c:v>
                </c:pt>
                <c:pt idx="1">
                  <c:v>4.0</c:v>
                </c:pt>
                <c:pt idx="2">
                  <c:v>2.0</c:v>
                </c:pt>
                <c:pt idx="3">
                  <c:v>5.0</c:v>
                </c:pt>
                <c:pt idx="4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9496056"/>
        <c:axId val="-2109492936"/>
      </c:barChart>
      <c:catAx>
        <c:axId val="-2109496056"/>
        <c:scaling>
          <c:orientation val="minMax"/>
        </c:scaling>
        <c:delete val="0"/>
        <c:axPos val="b"/>
        <c:majorTickMark val="out"/>
        <c:minorTickMark val="none"/>
        <c:tickLblPos val="nextTo"/>
        <c:crossAx val="-2109492936"/>
        <c:crosses val="autoZero"/>
        <c:auto val="1"/>
        <c:lblAlgn val="ctr"/>
        <c:lblOffset val="100"/>
        <c:noMultiLvlLbl val="0"/>
      </c:catAx>
      <c:valAx>
        <c:axId val="-2109492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9496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префпар3!$A$5</c:f>
              <c:strCache>
                <c:ptCount val="1"/>
                <c:pt idx="0">
                  <c:v>пере</c:v>
                </c:pt>
              </c:strCache>
            </c:strRef>
          </c:tx>
          <c:invertIfNegative val="0"/>
          <c:cat>
            <c:strRef>
              <c:f>префпар3!$B$4:$G$4</c:f>
              <c:strCache>
                <c:ptCount val="6"/>
                <c:pt idx="0">
                  <c:v>абстрактное лицо</c:v>
                </c:pt>
                <c:pt idx="1">
                  <c:v>абстрактный объект</c:v>
                </c:pt>
                <c:pt idx="2">
                  <c:v>конкретное лицо</c:v>
                </c:pt>
                <c:pt idx="3">
                  <c:v>лицо</c:v>
                </c:pt>
                <c:pt idx="4">
                  <c:v>неодушевлённый конкретный объект</c:v>
                </c:pt>
                <c:pt idx="5">
                  <c:v>отсутствует</c:v>
                </c:pt>
              </c:strCache>
            </c:strRef>
          </c:cat>
          <c:val>
            <c:numRef>
              <c:f>префпар3!$B$5:$G$5</c:f>
              <c:numCache>
                <c:formatCode>General</c:formatCode>
                <c:ptCount val="6"/>
                <c:pt idx="1">
                  <c:v>3.0</c:v>
                </c:pt>
                <c:pt idx="3">
                  <c:v>4.0</c:v>
                </c:pt>
                <c:pt idx="4">
                  <c:v>6.0</c:v>
                </c:pt>
                <c:pt idx="5">
                  <c:v>12.0</c:v>
                </c:pt>
              </c:numCache>
            </c:numRef>
          </c:val>
        </c:ser>
        <c:ser>
          <c:idx val="1"/>
          <c:order val="1"/>
          <c:tx>
            <c:strRef>
              <c:f>префпар3!$A$6</c:f>
              <c:strCache>
                <c:ptCount val="1"/>
                <c:pt idx="0">
                  <c:v>с</c:v>
                </c:pt>
              </c:strCache>
            </c:strRef>
          </c:tx>
          <c:invertIfNegative val="0"/>
          <c:cat>
            <c:strRef>
              <c:f>префпар3!$B$4:$G$4</c:f>
              <c:strCache>
                <c:ptCount val="6"/>
                <c:pt idx="0">
                  <c:v>абстрактное лицо</c:v>
                </c:pt>
                <c:pt idx="1">
                  <c:v>абстрактный объект</c:v>
                </c:pt>
                <c:pt idx="2">
                  <c:v>конкретное лицо</c:v>
                </c:pt>
                <c:pt idx="3">
                  <c:v>лицо</c:v>
                </c:pt>
                <c:pt idx="4">
                  <c:v>неодушевлённый конкретный объект</c:v>
                </c:pt>
                <c:pt idx="5">
                  <c:v>отсутствует</c:v>
                </c:pt>
              </c:strCache>
            </c:strRef>
          </c:cat>
          <c:val>
            <c:numRef>
              <c:f>префпар3!$B$6:$G$6</c:f>
              <c:numCache>
                <c:formatCode>General</c:formatCode>
                <c:ptCount val="6"/>
                <c:pt idx="0">
                  <c:v>1.0</c:v>
                </c:pt>
                <c:pt idx="1">
                  <c:v>4.0</c:v>
                </c:pt>
                <c:pt idx="2">
                  <c:v>1.0</c:v>
                </c:pt>
                <c:pt idx="4">
                  <c:v>3.0</c:v>
                </c:pt>
                <c:pt idx="5">
                  <c:v>16.0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7121624"/>
        <c:axId val="-2094476728"/>
      </c:barChart>
      <c:catAx>
        <c:axId val="-209712162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94476728"/>
        <c:crosses val="autoZero"/>
        <c:auto val="1"/>
        <c:lblAlgn val="ctr"/>
        <c:lblOffset val="100"/>
        <c:noMultiLvlLbl val="0"/>
      </c:catAx>
      <c:valAx>
        <c:axId val="-2094476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7121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пере</c:v>
          </c:tx>
          <c:cat>
            <c:strRef>
              <c:f>график!$A$5:$A$34</c:f>
              <c:strCache>
                <c:ptCount val="30"/>
                <c:pt idx="0">
                  <c:v>1952 </c:v>
                </c:pt>
                <c:pt idx="1">
                  <c:v>1957 </c:v>
                </c:pt>
                <c:pt idx="2">
                  <c:v>1960 </c:v>
                </c:pt>
                <c:pt idx="3">
                  <c:v>1962 </c:v>
                </c:pt>
                <c:pt idx="4">
                  <c:v>1965 </c:v>
                </c:pt>
                <c:pt idx="5">
                  <c:v>1966-1970 </c:v>
                </c:pt>
                <c:pt idx="6">
                  <c:v>1967 </c:v>
                </c:pt>
                <c:pt idx="7">
                  <c:v>1971-1974 </c:v>
                </c:pt>
                <c:pt idx="8">
                  <c:v>1973 </c:v>
                </c:pt>
                <c:pt idx="9">
                  <c:v>1978-1980 </c:v>
                </c:pt>
                <c:pt idx="10">
                  <c:v>1979 </c:v>
                </c:pt>
                <c:pt idx="11">
                  <c:v>1985 </c:v>
                </c:pt>
                <c:pt idx="12">
                  <c:v>1986-1990 </c:v>
                </c:pt>
                <c:pt idx="13">
                  <c:v>1989 </c:v>
                </c:pt>
                <c:pt idx="14">
                  <c:v>1990-2000 </c:v>
                </c:pt>
                <c:pt idx="15">
                  <c:v>1990-2002 </c:v>
                </c:pt>
                <c:pt idx="16">
                  <c:v>1991-1995 </c:v>
                </c:pt>
                <c:pt idx="17">
                  <c:v>1993 </c:v>
                </c:pt>
                <c:pt idx="18">
                  <c:v>1997 </c:v>
                </c:pt>
                <c:pt idx="19">
                  <c:v>1998 </c:v>
                </c:pt>
                <c:pt idx="20">
                  <c:v>2000 </c:v>
                </c:pt>
                <c:pt idx="21">
                  <c:v>2001 </c:v>
                </c:pt>
                <c:pt idx="22">
                  <c:v>2002 </c:v>
                </c:pt>
                <c:pt idx="23">
                  <c:v>2003 </c:v>
                </c:pt>
                <c:pt idx="24">
                  <c:v>2004 </c:v>
                </c:pt>
                <c:pt idx="25">
                  <c:v>2006 </c:v>
                </c:pt>
                <c:pt idx="26">
                  <c:v>2007 </c:v>
                </c:pt>
                <c:pt idx="27">
                  <c:v>2008-2010 </c:v>
                </c:pt>
                <c:pt idx="28">
                  <c:v>2011 </c:v>
                </c:pt>
                <c:pt idx="29">
                  <c:v>2015 </c:v>
                </c:pt>
              </c:strCache>
            </c:strRef>
          </c:cat>
          <c:val>
            <c:numRef>
              <c:f>график!$B$5:$B$34</c:f>
              <c:numCache>
                <c:formatCode>General</c:formatCode>
                <c:ptCount val="30"/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9">
                  <c:v>1.0</c:v>
                </c:pt>
                <c:pt idx="10">
                  <c:v>1.0</c:v>
                </c:pt>
                <c:pt idx="13">
                  <c:v>1.0</c:v>
                </c:pt>
                <c:pt idx="15">
                  <c:v>1.0</c:v>
                </c:pt>
                <c:pt idx="17">
                  <c:v>1.0</c:v>
                </c:pt>
                <c:pt idx="18">
                  <c:v>2.0</c:v>
                </c:pt>
                <c:pt idx="19">
                  <c:v>2.0</c:v>
                </c:pt>
                <c:pt idx="20">
                  <c:v>1.0</c:v>
                </c:pt>
                <c:pt idx="21">
                  <c:v>3.0</c:v>
                </c:pt>
                <c:pt idx="22">
                  <c:v>2.0</c:v>
                </c:pt>
                <c:pt idx="23">
                  <c:v>2.0</c:v>
                </c:pt>
                <c:pt idx="24">
                  <c:v>2.0</c:v>
                </c:pt>
                <c:pt idx="25">
                  <c:v>1.0</c:v>
                </c:pt>
                <c:pt idx="27">
                  <c:v>1.0</c:v>
                </c:pt>
                <c:pt idx="28">
                  <c:v>1.0</c:v>
                </c:pt>
              </c:numCache>
            </c:numRef>
          </c:val>
          <c:smooth val="0"/>
        </c:ser>
        <c:ser>
          <c:idx val="1"/>
          <c:order val="1"/>
          <c:tx>
            <c:v>с</c:v>
          </c:tx>
          <c:cat>
            <c:strRef>
              <c:f>график!$A$5:$A$34</c:f>
              <c:strCache>
                <c:ptCount val="30"/>
                <c:pt idx="0">
                  <c:v>1952 </c:v>
                </c:pt>
                <c:pt idx="1">
                  <c:v>1957 </c:v>
                </c:pt>
                <c:pt idx="2">
                  <c:v>1960 </c:v>
                </c:pt>
                <c:pt idx="3">
                  <c:v>1962 </c:v>
                </c:pt>
                <c:pt idx="4">
                  <c:v>1965 </c:v>
                </c:pt>
                <c:pt idx="5">
                  <c:v>1966-1970 </c:v>
                </c:pt>
                <c:pt idx="6">
                  <c:v>1967 </c:v>
                </c:pt>
                <c:pt idx="7">
                  <c:v>1971-1974 </c:v>
                </c:pt>
                <c:pt idx="8">
                  <c:v>1973 </c:v>
                </c:pt>
                <c:pt idx="9">
                  <c:v>1978-1980 </c:v>
                </c:pt>
                <c:pt idx="10">
                  <c:v>1979 </c:v>
                </c:pt>
                <c:pt idx="11">
                  <c:v>1985 </c:v>
                </c:pt>
                <c:pt idx="12">
                  <c:v>1986-1990 </c:v>
                </c:pt>
                <c:pt idx="13">
                  <c:v>1989 </c:v>
                </c:pt>
                <c:pt idx="14">
                  <c:v>1990-2000 </c:v>
                </c:pt>
                <c:pt idx="15">
                  <c:v>1990-2002 </c:v>
                </c:pt>
                <c:pt idx="16">
                  <c:v>1991-1995 </c:v>
                </c:pt>
                <c:pt idx="17">
                  <c:v>1993 </c:v>
                </c:pt>
                <c:pt idx="18">
                  <c:v>1997 </c:v>
                </c:pt>
                <c:pt idx="19">
                  <c:v>1998 </c:v>
                </c:pt>
                <c:pt idx="20">
                  <c:v>2000 </c:v>
                </c:pt>
                <c:pt idx="21">
                  <c:v>2001 </c:v>
                </c:pt>
                <c:pt idx="22">
                  <c:v>2002 </c:v>
                </c:pt>
                <c:pt idx="23">
                  <c:v>2003 </c:v>
                </c:pt>
                <c:pt idx="24">
                  <c:v>2004 </c:v>
                </c:pt>
                <c:pt idx="25">
                  <c:v>2006 </c:v>
                </c:pt>
                <c:pt idx="26">
                  <c:v>2007 </c:v>
                </c:pt>
                <c:pt idx="27">
                  <c:v>2008-2010 </c:v>
                </c:pt>
                <c:pt idx="28">
                  <c:v>2011 </c:v>
                </c:pt>
                <c:pt idx="29">
                  <c:v>2015 </c:v>
                </c:pt>
              </c:strCache>
            </c:strRef>
          </c:cat>
          <c:val>
            <c:numRef>
              <c:f>график!$C$5:$C$34</c:f>
              <c:numCache>
                <c:formatCode>General</c:formatCode>
                <c:ptCount val="30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7">
                  <c:v>1.0</c:v>
                </c:pt>
                <c:pt idx="8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  <c:pt idx="13">
                  <c:v>2.0</c:v>
                </c:pt>
                <c:pt idx="14">
                  <c:v>1.0</c:v>
                </c:pt>
                <c:pt idx="16">
                  <c:v>1.0</c:v>
                </c:pt>
                <c:pt idx="19">
                  <c:v>1.0</c:v>
                </c:pt>
                <c:pt idx="20">
                  <c:v>2.0</c:v>
                </c:pt>
                <c:pt idx="21">
                  <c:v>2.0</c:v>
                </c:pt>
                <c:pt idx="22">
                  <c:v>3.0</c:v>
                </c:pt>
                <c:pt idx="25">
                  <c:v>1.0</c:v>
                </c:pt>
                <c:pt idx="26">
                  <c:v>1.0</c:v>
                </c:pt>
                <c:pt idx="28">
                  <c:v>1.0</c:v>
                </c:pt>
                <c:pt idx="29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6817128"/>
        <c:axId val="-2110487144"/>
      </c:lineChart>
      <c:catAx>
        <c:axId val="-20968171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110487144"/>
        <c:crosses val="autoZero"/>
        <c:auto val="1"/>
        <c:lblAlgn val="ctr"/>
        <c:lblOffset val="100"/>
        <c:noMultiLvlLbl val="0"/>
      </c:catAx>
      <c:valAx>
        <c:axId val="-2110487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6817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17</xdr:row>
      <xdr:rowOff>25400</xdr:rowOff>
    </xdr:from>
    <xdr:to>
      <xdr:col>15</xdr:col>
      <xdr:colOff>596900</xdr:colOff>
      <xdr:row>32</xdr:row>
      <xdr:rowOff>101600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7</xdr:row>
      <xdr:rowOff>88900</xdr:rowOff>
    </xdr:from>
    <xdr:to>
      <xdr:col>7</xdr:col>
      <xdr:colOff>812800</xdr:colOff>
      <xdr:row>50</xdr:row>
      <xdr:rowOff>25400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393700</xdr:colOff>
      <xdr:row>11</xdr:row>
      <xdr:rowOff>63500</xdr:rowOff>
    </xdr:from>
    <xdr:to>
      <xdr:col>10</xdr:col>
      <xdr:colOff>1397000</xdr:colOff>
      <xdr:row>34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14</xdr:row>
      <xdr:rowOff>127000</xdr:rowOff>
    </xdr:from>
    <xdr:to>
      <xdr:col>8</xdr:col>
      <xdr:colOff>736600</xdr:colOff>
      <xdr:row>41</xdr:row>
      <xdr:rowOff>88900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7</xdr:row>
      <xdr:rowOff>127000</xdr:rowOff>
    </xdr:from>
    <xdr:to>
      <xdr:col>11</xdr:col>
      <xdr:colOff>139700</xdr:colOff>
      <xdr:row>31</xdr:row>
      <xdr:rowOff>101600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7</xdr:row>
      <xdr:rowOff>63500</xdr:rowOff>
    </xdr:from>
    <xdr:to>
      <xdr:col>10</xdr:col>
      <xdr:colOff>177800</xdr:colOff>
      <xdr:row>31</xdr:row>
      <xdr:rowOff>101600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7</xdr:row>
      <xdr:rowOff>139700</xdr:rowOff>
    </xdr:from>
    <xdr:to>
      <xdr:col>9</xdr:col>
      <xdr:colOff>469900</xdr:colOff>
      <xdr:row>31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368300</xdr:colOff>
      <xdr:row>2</xdr:row>
      <xdr:rowOff>12700</xdr:rowOff>
    </xdr:from>
    <xdr:to>
      <xdr:col>19</xdr:col>
      <xdr:colOff>419100</xdr:colOff>
      <xdr:row>31</xdr:row>
      <xdr:rowOff>101600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onina Larina" refreshedDate="43367.949467939812" createdVersion="4" refreshedVersion="4" minRefreshableVersion="3" recordCount="952">
  <cacheSource type="worksheet">
    <worksheetSource ref="H1:H1048576" sheet="пере"/>
  </cacheSource>
  <cacheFields count="1">
    <cacheField name="Author" numFmtId="0">
      <sharedItems containsBlank="1" count="46">
        <s v=" "/>
        <s v="Александр Волков "/>
        <s v="Александра Маринина "/>
        <s v="Анатолий Найман "/>
        <s v="Анатолий Трушкин "/>
        <s v="Андрей Волос "/>
        <s v="Андрей Геласимов "/>
        <s v="Анна Берсенева "/>
        <s v="Аркадий Стругацкий, Борис Стругацкий "/>
        <s v="Белла Езерская "/>
        <s v="Борис Вишневский "/>
        <s v="В. И. Аблазов "/>
        <s v="Валентин Постников "/>
        <s v="Василий Аксенов "/>
        <s v="Василий Белов "/>
        <s v="Василий Песков "/>
        <s v="Вера Белоусова "/>
        <s v="Владимир Абаринов "/>
        <s v="Владимир Саввин "/>
        <s v="Владлен Давыдов "/>
        <s v="Г. Е. Николаева "/>
        <s v="Дарья Донцова "/>
        <s v="Дмитрий Емец "/>
        <s v="Евгений Велтистов "/>
        <s v="Елена Короп "/>
        <s v="Захар Прилепин "/>
        <s v="Зоя Кошелева "/>
        <s v="Зоя Масленикова "/>
        <s v="коллективный "/>
        <s v="Леонид Сапожников "/>
        <s v="М. С. Шагинян "/>
        <s v="Максим Милованов "/>
        <s v="Мария Рыбакова "/>
        <s v="Маша Трауб "/>
        <s v="Н. Н. Берберова "/>
        <s v="Наталья Шмелькова "/>
        <s v="Никита Богословский "/>
        <s v="Николай Климонтович "/>
        <s v="С. Л. Рябцева "/>
        <s v="Сати Спивакова "/>
        <s v="Сергей Осипов "/>
        <s v="Сергей Юрский "/>
        <s v="Эдвард Радзинский "/>
        <s v="Юлий Даниэль "/>
        <s v="Я. Е. Харон 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tonina Larina" refreshedDate="43367.986520486113" createdVersion="4" refreshedVersion="4" minRefreshableVersion="3" recordCount="577">
  <cacheSource type="worksheet">
    <worksheetSource ref="H1:H1048576" sheet="с"/>
  </cacheSource>
  <cacheFields count="1">
    <cacheField name="Author" numFmtId="0">
      <sharedItems containsBlank="1" count="48">
        <s v=" "/>
        <s v="А. Т. Твардовский "/>
        <s v="Александр Михайлов "/>
        <s v="Александр Филюшкин "/>
        <s v="Александра Маринина "/>
        <s v="Анастас Микоян "/>
        <s v="Андрей Белянин "/>
        <s v="Андрей Измайлов "/>
        <s v="Анна Ларина (Бухарина) "/>
        <s v="Асар Эппель "/>
        <s v="Борис Екимов "/>
        <s v="В. А. Солоухин "/>
        <s v="В. Д. Пришвина "/>
        <s v="Василий Голованов "/>
        <s v="Василий Гроссман "/>
        <s v="Василий Катанян "/>
        <s v="Вера Белоусова "/>
        <s v="Виктор Конецкий "/>
        <s v="Владимир Соловьев "/>
        <s v="Г. Г. Демидов "/>
        <s v="Г. Данилова "/>
        <s v="Галина Шергова "/>
        <s v="Д. Меркулов "/>
        <s v="Д. С. Лихачев "/>
        <s v="Дина Рубина "/>
        <s v="Дина Сабитова "/>
        <s v="Евгений Сухов "/>
        <s v="Евгений Чижов "/>
        <s v="Евгения Данилова "/>
        <s v="Елена Топильская "/>
        <s v="коллективный "/>
        <s v="Лариса Васильева "/>
        <s v="Леонид Юзефович "/>
        <s v="М. Л. Гаспаров "/>
        <s v="Марина Зосимкина "/>
        <s v="Михаил Панин "/>
        <s v="Михаил Чулаки "/>
        <s v="Н. А. Оцуп "/>
        <s v="Новелла Иванова "/>
        <s v="Ольга Славникова "/>
        <s v="Роман Солнцев "/>
        <s v="Сергей Солоух "/>
        <s v="Фазиль Искандер "/>
        <s v="Ю. М. Нагибин "/>
        <s v="Ю. П. Герман "/>
        <s v="Юрий Азаров "/>
        <s v="C. П. Мельгунов 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tonina Larina" refreshedDate="43368.444935300926" createdVersion="4" refreshedVersion="4" minRefreshableVersion="3" recordCount="51">
  <cacheSource type="worksheet">
    <worksheetSource ref="T1:U1048576" sheet="общее"/>
  </cacheSource>
  <cacheFields count="2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ntonina Larina" refreshedDate="43368.454186921299" createdVersion="4" refreshedVersion="4" minRefreshableVersion="3" recordCount="51">
  <cacheSource type="worksheet">
    <worksheetSource ref="T1:V1048576" sheet="общее"/>
  </cacheSource>
  <cacheFields count="3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  <cacheField name="PERSONNUMBER" numFmtId="0">
      <sharedItems containsBlank="1" count="5">
        <s v="3 лицо ед.число"/>
        <s v="3 лицо мн.число"/>
        <s v="2 лицо ед.число"/>
        <s v="1 лицо ед.число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ntonina Larina" refreshedDate="43368.776013773146" createdVersion="4" refreshedVersion="4" minRefreshableVersion="3" recordCount="51">
  <cacheSource type="worksheet">
    <worksheetSource ref="T1:W1048576" sheet="общее"/>
  </cacheSource>
  <cacheFields count="4">
    <cacheField name="PREFIX" numFmtId="0">
      <sharedItems containsBlank="1" count="3">
        <s v="с"/>
        <s v="пере"/>
        <m/>
      </sharedItems>
    </cacheField>
    <cacheField name="TENSE" numFmtId="0">
      <sharedItems containsBlank="1" count="3">
        <s v="прошедшее"/>
        <s v="будущее"/>
        <m/>
      </sharedItems>
    </cacheField>
    <cacheField name="PERSONNUMBER" numFmtId="0">
      <sharedItems containsBlank="1"/>
    </cacheField>
    <cacheField name="PARTICIPANT1" numFmtId="0">
      <sharedItems containsBlank="1" count="5">
        <s v="лицо"/>
        <s v="неопределённое лицо"/>
        <s v="абстрактное лицо"/>
        <s v="абстарктные объекты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ntonina Larina" refreshedDate="43368.785497685189" createdVersion="4" refreshedVersion="4" minRefreshableVersion="3" recordCount="51">
  <cacheSource type="worksheet">
    <worksheetSource ref="T1:X1048576" sheet="общее"/>
  </cacheSource>
  <cacheFields count="5">
    <cacheField name="PREFIX" numFmtId="0">
      <sharedItems containsBlank="1" count="3">
        <s v="с"/>
        <s v="пере"/>
        <m/>
      </sharedItems>
    </cacheField>
    <cacheField name="TENSE" numFmtId="0">
      <sharedItems containsBlank="1"/>
    </cacheField>
    <cacheField name="PERSONNUMBER" numFmtId="0">
      <sharedItems containsBlank="1"/>
    </cacheField>
    <cacheField name="PARTICIPANT1" numFmtId="0">
      <sharedItems containsBlank="1"/>
    </cacheField>
    <cacheField name="PARTICIPANT2" numFmtId="0">
      <sharedItems containsBlank="1" count="7">
        <s v="лицо"/>
        <s v="неодушувлённый конкретный объект"/>
        <s v="абстрактный объект"/>
        <s v="отсутствует"/>
        <s v="конкретное лицо"/>
        <m/>
        <s v="отсутсвует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ntonina Larina" refreshedDate="43368.790678703706" createdVersion="4" refreshedVersion="4" minRefreshableVersion="3" recordCount="51">
  <cacheSource type="worksheet">
    <worksheetSource ref="T1:Y1048576" sheet="общее"/>
  </cacheSource>
  <cacheFields count="6">
    <cacheField name="PREFIX" numFmtId="0">
      <sharedItems containsBlank="1" count="3">
        <s v="с"/>
        <s v="пере"/>
        <m/>
      </sharedItems>
    </cacheField>
    <cacheField name="TENSE" numFmtId="0">
      <sharedItems containsBlank="1"/>
    </cacheField>
    <cacheField name="PERSONNUMBER" numFmtId="0">
      <sharedItems containsBlank="1"/>
    </cacheField>
    <cacheField name="PARTICIPANT1" numFmtId="0">
      <sharedItems containsBlank="1"/>
    </cacheField>
    <cacheField name="PARTICIPANT2" numFmtId="0">
      <sharedItems containsBlank="1"/>
    </cacheField>
    <cacheField name="PARTICIPANT3" numFmtId="0">
      <sharedItems containsBlank="1" count="10">
        <s v="отсутствует"/>
        <s v="неодушевлённый конкретный объект"/>
        <s v="абстрактный объект"/>
        <s v="конкретное лицо"/>
        <s v="абстрактное лицо"/>
        <s v="лицо"/>
        <m/>
        <s v="отсутсвует" u="1"/>
        <s v="отсутствует " u="1"/>
        <s v="жесть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ntonina Larina" refreshedDate="43368.807153819442" createdVersion="4" refreshedVersion="4" minRefreshableVersion="3" recordCount="51">
  <cacheSource type="worksheet">
    <worksheetSource ref="K1:T1048576" sheet="общее"/>
  </cacheSource>
  <cacheFields count="10">
    <cacheField name="Created" numFmtId="0">
      <sharedItems containsBlank="1" count="31">
        <s v="2002 "/>
        <s v="1971-1974 "/>
        <s v="2000 "/>
        <s v="1991-1995 "/>
        <s v="1998 "/>
        <s v="1986-1990 "/>
        <s v="2001 "/>
        <s v="1960 "/>
        <s v="1979 "/>
        <s v="2015 "/>
        <s v="1962 "/>
        <s v="2006 "/>
        <s v="2007 "/>
        <s v="1985 "/>
        <s v="1989 "/>
        <s v="1973 "/>
        <s v="2011 "/>
        <s v="1957 "/>
        <s v="1952 "/>
        <s v="1990-2000 "/>
        <s v="2004 "/>
        <s v="1966-1970 "/>
        <s v="1997 "/>
        <s v="1967 "/>
        <s v="2003 "/>
        <s v="1990-2002 "/>
        <s v="1993 "/>
        <s v="1965 "/>
        <s v="2008-2010 "/>
        <s v="1978-1980 "/>
        <m/>
      </sharedItems>
    </cacheField>
    <cacheField name="Sphere" numFmtId="0">
      <sharedItems containsBlank="1" count="10">
        <s v="художественная "/>
        <s v="публицистика ,  нехудожественная "/>
        <s v="учебно-научная ,  нехудожественная "/>
        <s v="художественная проза "/>
        <s v="производственно-техническая ,  нехудожественная "/>
        <s v="публицистика, нехудожественная "/>
        <s v="бытовая, нехудожественная "/>
        <s v="электронная коммуникация ,  нехудожественная "/>
        <s v="бытовая ,  нехудожественная "/>
        <m/>
      </sharedItems>
    </cacheField>
    <cacheField name="Type" numFmtId="0">
      <sharedItems containsBlank="1" count="13">
        <s v="роман "/>
        <s v="мемуары "/>
        <s v="монография "/>
        <s v="статья "/>
        <s v="повесть "/>
        <s v="миниатюра "/>
        <s v="рассказ "/>
        <s v="дневник, записные книжки "/>
        <s v="форум "/>
        <s v="письмо личное "/>
        <s v="сказка "/>
        <s v="письмо литературное "/>
        <m/>
      </sharedItems>
    </cacheField>
    <cacheField name="Topic" numFmtId="0">
      <sharedItems containsBlank="1"/>
    </cacheField>
    <cacheField name="Publication" numFmtId="0">
      <sharedItems containsBlank="1"/>
    </cacheField>
    <cacheField name="Publ_year" numFmtId="0">
      <sharedItems containsBlank="1"/>
    </cacheField>
    <cacheField name="Medium" numFmtId="0">
      <sharedItems containsBlank="1"/>
    </cacheField>
    <cacheField name="Ambiguity" numFmtId="0">
      <sharedItems containsBlank="1"/>
    </cacheField>
    <cacheField name="Full context" numFmtId="0">
      <sharedItems containsBlank="1" longText="1"/>
    </cacheField>
    <cacheField name="PREFIX" numFmtId="0">
      <sharedItems containsBlank="1" count="3">
        <s v="с"/>
        <s v="пере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2">
  <r>
    <x v="0"/>
  </r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3"/>
  </r>
  <r>
    <x v="14"/>
  </r>
  <r>
    <x v="15"/>
  </r>
  <r>
    <x v="16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5"/>
  </r>
  <r>
    <x v="36"/>
  </r>
  <r>
    <x v="37"/>
  </r>
  <r>
    <x v="38"/>
  </r>
  <r>
    <x v="39"/>
  </r>
  <r>
    <x v="40"/>
  </r>
  <r>
    <x v="40"/>
  </r>
  <r>
    <x v="41"/>
  </r>
  <r>
    <x v="42"/>
  </r>
  <r>
    <x v="43"/>
  </r>
  <r>
    <x v="44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77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2"/>
  </r>
  <r>
    <x v="42"/>
  </r>
  <r>
    <x v="43"/>
  </r>
  <r>
    <x v="44"/>
  </r>
  <r>
    <x v="45"/>
  </r>
  <r>
    <x v="46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  <r>
    <x v="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1"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0"/>
    <x v="1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0"/>
  </r>
  <r>
    <x v="1"/>
    <x v="1"/>
  </r>
  <r>
    <x v="2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1">
  <r>
    <x v="0"/>
    <x v="0"/>
    <x v="0"/>
  </r>
  <r>
    <x v="0"/>
    <x v="0"/>
    <x v="1"/>
  </r>
  <r>
    <x v="0"/>
    <x v="0"/>
    <x v="0"/>
  </r>
  <r>
    <x v="0"/>
    <x v="0"/>
    <x v="0"/>
  </r>
  <r>
    <x v="0"/>
    <x v="1"/>
    <x v="2"/>
  </r>
  <r>
    <x v="0"/>
    <x v="1"/>
    <x v="2"/>
  </r>
  <r>
    <x v="0"/>
    <x v="0"/>
    <x v="0"/>
  </r>
  <r>
    <x v="0"/>
    <x v="0"/>
    <x v="1"/>
  </r>
  <r>
    <x v="0"/>
    <x v="0"/>
    <x v="0"/>
  </r>
  <r>
    <x v="0"/>
    <x v="0"/>
    <x v="1"/>
  </r>
  <r>
    <x v="0"/>
    <x v="0"/>
    <x v="0"/>
  </r>
  <r>
    <x v="0"/>
    <x v="1"/>
    <x v="3"/>
  </r>
  <r>
    <x v="0"/>
    <x v="1"/>
    <x v="2"/>
  </r>
  <r>
    <x v="0"/>
    <x v="1"/>
    <x v="2"/>
  </r>
  <r>
    <x v="0"/>
    <x v="0"/>
    <x v="0"/>
  </r>
  <r>
    <x v="0"/>
    <x v="0"/>
    <x v="0"/>
  </r>
  <r>
    <x v="0"/>
    <x v="0"/>
    <x v="0"/>
  </r>
  <r>
    <x v="0"/>
    <x v="0"/>
    <x v="0"/>
  </r>
  <r>
    <x v="0"/>
    <x v="0"/>
    <x v="1"/>
  </r>
  <r>
    <x v="0"/>
    <x v="0"/>
    <x v="2"/>
  </r>
  <r>
    <x v="0"/>
    <x v="0"/>
    <x v="0"/>
  </r>
  <r>
    <x v="0"/>
    <x v="0"/>
    <x v="1"/>
  </r>
  <r>
    <x v="0"/>
    <x v="0"/>
    <x v="0"/>
  </r>
  <r>
    <x v="0"/>
    <x v="1"/>
    <x v="0"/>
  </r>
  <r>
    <x v="0"/>
    <x v="1"/>
    <x v="0"/>
  </r>
  <r>
    <x v="1"/>
    <x v="0"/>
    <x v="0"/>
  </r>
  <r>
    <x v="1"/>
    <x v="0"/>
    <x v="1"/>
  </r>
  <r>
    <x v="1"/>
    <x v="0"/>
    <x v="1"/>
  </r>
  <r>
    <x v="1"/>
    <x v="0"/>
    <x v="0"/>
  </r>
  <r>
    <x v="1"/>
    <x v="0"/>
    <x v="1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0"/>
    <x v="0"/>
  </r>
  <r>
    <x v="1"/>
    <x v="0"/>
    <x v="0"/>
  </r>
  <r>
    <x v="1"/>
    <x v="0"/>
    <x v="1"/>
  </r>
  <r>
    <x v="1"/>
    <x v="0"/>
    <x v="0"/>
  </r>
  <r>
    <x v="1"/>
    <x v="1"/>
    <x v="2"/>
  </r>
  <r>
    <x v="2"/>
    <x v="2"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1"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0"/>
  </r>
  <r>
    <x v="0"/>
    <x v="0"/>
    <s v="3 лицо ед.число"/>
    <x v="0"/>
  </r>
  <r>
    <x v="0"/>
    <x v="1"/>
    <s v="2 лицо ед.число"/>
    <x v="2"/>
  </r>
  <r>
    <x v="0"/>
    <x v="1"/>
    <s v="2 лицо ед.число"/>
    <x v="2"/>
  </r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0"/>
  </r>
  <r>
    <x v="0"/>
    <x v="0"/>
    <s v="3 лицо мн.число"/>
    <x v="1"/>
  </r>
  <r>
    <x v="0"/>
    <x v="0"/>
    <s v="3 лицо ед.число"/>
    <x v="2"/>
  </r>
  <r>
    <x v="0"/>
    <x v="1"/>
    <s v="1 лицо ед.число"/>
    <x v="0"/>
  </r>
  <r>
    <x v="0"/>
    <x v="1"/>
    <s v="2 лицо ед.число"/>
    <x v="2"/>
  </r>
  <r>
    <x v="0"/>
    <x v="1"/>
    <s v="2 лицо ед.число"/>
    <x v="2"/>
  </r>
  <r>
    <x v="0"/>
    <x v="0"/>
    <s v="3 лицо ед.число"/>
    <x v="0"/>
  </r>
  <r>
    <x v="0"/>
    <x v="0"/>
    <s v="3 лицо ед.число"/>
    <x v="0"/>
  </r>
  <r>
    <x v="0"/>
    <x v="0"/>
    <s v="3 лицо ед.число"/>
    <x v="2"/>
  </r>
  <r>
    <x v="0"/>
    <x v="0"/>
    <s v="3 лицо ед.число"/>
    <x v="0"/>
  </r>
  <r>
    <x v="0"/>
    <x v="0"/>
    <s v="3 лицо мн.число"/>
    <x v="3"/>
  </r>
  <r>
    <x v="0"/>
    <x v="0"/>
    <s v="2 лицо ед.число"/>
    <x v="2"/>
  </r>
  <r>
    <x v="0"/>
    <x v="0"/>
    <s v="3 лицо ед.число"/>
    <x v="2"/>
  </r>
  <r>
    <x v="0"/>
    <x v="0"/>
    <s v="3 лицо мн.число"/>
    <x v="0"/>
  </r>
  <r>
    <x v="0"/>
    <x v="0"/>
    <s v="3 лицо ед.число"/>
    <x v="1"/>
  </r>
  <r>
    <x v="0"/>
    <x v="1"/>
    <s v="3 лицо ед.число"/>
    <x v="0"/>
  </r>
  <r>
    <x v="0"/>
    <x v="1"/>
    <s v="3 лицо ед.число"/>
    <x v="0"/>
  </r>
  <r>
    <x v="1"/>
    <x v="0"/>
    <s v="3 лицо ед.число"/>
    <x v="0"/>
  </r>
  <r>
    <x v="1"/>
    <x v="0"/>
    <s v="3 лицо мн.число"/>
    <x v="1"/>
  </r>
  <r>
    <x v="1"/>
    <x v="0"/>
    <s v="3 лицо мн.число"/>
    <x v="1"/>
  </r>
  <r>
    <x v="1"/>
    <x v="0"/>
    <s v="3 лицо ед.число"/>
    <x v="0"/>
  </r>
  <r>
    <x v="1"/>
    <x v="0"/>
    <s v="3 лицо мн.число"/>
    <x v="0"/>
  </r>
  <r>
    <x v="1"/>
    <x v="0"/>
    <s v="3 лицо мн.число"/>
    <x v="1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1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0"/>
    <s v="3 лицо ед.число"/>
    <x v="1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ед.число"/>
    <x v="0"/>
  </r>
  <r>
    <x v="1"/>
    <x v="0"/>
    <s v="3 лицо мн.число"/>
    <x v="0"/>
  </r>
  <r>
    <x v="1"/>
    <x v="0"/>
    <s v="3 лицо ед.число"/>
    <x v="0"/>
  </r>
  <r>
    <x v="1"/>
    <x v="1"/>
    <s v="2 лицо ед.число"/>
    <x v="0"/>
  </r>
  <r>
    <x v="2"/>
    <x v="2"/>
    <m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1">
  <r>
    <x v="0"/>
    <s v="прошедшее"/>
    <s v="3 лицо ед.число"/>
    <s v="лицо"/>
    <x v="0"/>
  </r>
  <r>
    <x v="0"/>
    <s v="прошедшее"/>
    <s v="3 лицо мн.число"/>
    <s v="неопределённое лицо"/>
    <x v="1"/>
  </r>
  <r>
    <x v="0"/>
    <s v="прошедшее"/>
    <s v="3 лицо ед.число"/>
    <s v="лицо"/>
    <x v="2"/>
  </r>
  <r>
    <x v="0"/>
    <s v="прошедшее"/>
    <s v="3 лицо ед.число"/>
    <s v="лицо"/>
    <x v="2"/>
  </r>
  <r>
    <x v="0"/>
    <s v="будущее"/>
    <s v="2 лицо ед.число"/>
    <s v="абстрактное лицо"/>
    <x v="2"/>
  </r>
  <r>
    <x v="0"/>
    <s v="будущее"/>
    <s v="2 лицо ед.число"/>
    <s v="абстрактное лицо"/>
    <x v="2"/>
  </r>
  <r>
    <x v="0"/>
    <s v="прошедшее"/>
    <s v="3 лицо ед.число"/>
    <s v="лицо"/>
    <x v="3"/>
  </r>
  <r>
    <x v="0"/>
    <s v="прошедшее"/>
    <s v="3 лицо мн.число"/>
    <s v="неопределённое лицо"/>
    <x v="2"/>
  </r>
  <r>
    <x v="0"/>
    <s v="прошедшее"/>
    <s v="3 лицо ед.число"/>
    <s v="лицо"/>
    <x v="4"/>
  </r>
  <r>
    <x v="0"/>
    <s v="прошедшее"/>
    <s v="3 лицо мн.число"/>
    <s v="неопределённое лицо"/>
    <x v="3"/>
  </r>
  <r>
    <x v="0"/>
    <s v="прошедшее"/>
    <s v="3 лицо ед.число"/>
    <s v="абстрактное лицо"/>
    <x v="4"/>
  </r>
  <r>
    <x v="0"/>
    <s v="будущее"/>
    <s v="1 лицо ед.число"/>
    <s v="лицо"/>
    <x v="2"/>
  </r>
  <r>
    <x v="0"/>
    <s v="будущее"/>
    <s v="2 лицо ед.число"/>
    <s v="абстрактное лицо"/>
    <x v="2"/>
  </r>
  <r>
    <x v="0"/>
    <s v="будущее"/>
    <s v="2 лицо ед.число"/>
    <s v="абстрактное лицо"/>
    <x v="0"/>
  </r>
  <r>
    <x v="0"/>
    <s v="прошедшее"/>
    <s v="3 лицо ед.число"/>
    <s v="лицо"/>
    <x v="1"/>
  </r>
  <r>
    <x v="0"/>
    <s v="прошедшее"/>
    <s v="3 лицо ед.число"/>
    <s v="лицо"/>
    <x v="1"/>
  </r>
  <r>
    <x v="0"/>
    <s v="прошедшее"/>
    <s v="3 лицо ед.число"/>
    <s v="абстрактное лицо"/>
    <x v="1"/>
  </r>
  <r>
    <x v="0"/>
    <s v="прошедшее"/>
    <s v="3 лицо ед.число"/>
    <s v="лицо"/>
    <x v="1"/>
  </r>
  <r>
    <x v="0"/>
    <s v="прошедшее"/>
    <s v="3 лицо мн.число"/>
    <s v="абстарктные объекты"/>
    <x v="3"/>
  </r>
  <r>
    <x v="0"/>
    <s v="прошедшее"/>
    <s v="2 лицо ед.число"/>
    <s v="абстрактное лицо"/>
    <x v="2"/>
  </r>
  <r>
    <x v="0"/>
    <s v="прошедшее"/>
    <s v="3 лицо ед.число"/>
    <s v="абстрактное лицо"/>
    <x v="2"/>
  </r>
  <r>
    <x v="0"/>
    <s v="прошедшее"/>
    <s v="3 лицо мн.число"/>
    <s v="лицо"/>
    <x v="2"/>
  </r>
  <r>
    <x v="0"/>
    <s v="прошедшее"/>
    <s v="3 лицо ед.число"/>
    <s v="неопределённое лицо"/>
    <x v="2"/>
  </r>
  <r>
    <x v="0"/>
    <s v="будущее"/>
    <s v="3 лицо ед.число"/>
    <s v="лицо"/>
    <x v="4"/>
  </r>
  <r>
    <x v="0"/>
    <s v="будущее"/>
    <s v="3 лицо ед.число"/>
    <s v="лицо"/>
    <x v="4"/>
  </r>
  <r>
    <x v="1"/>
    <s v="прошедшее"/>
    <s v="3 лицо ед.число"/>
    <s v="лицо"/>
    <x v="2"/>
  </r>
  <r>
    <x v="1"/>
    <s v="прошедшее"/>
    <s v="3 лицо мн.число"/>
    <s v="неопределённое лицо"/>
    <x v="3"/>
  </r>
  <r>
    <x v="1"/>
    <s v="прошедшее"/>
    <s v="3 лицо мн.число"/>
    <s v="неопределённое лицо"/>
    <x v="1"/>
  </r>
  <r>
    <x v="1"/>
    <s v="прошедшее"/>
    <s v="3 лицо ед.число"/>
    <s v="лицо"/>
    <x v="0"/>
  </r>
  <r>
    <x v="1"/>
    <s v="прошедшее"/>
    <s v="3 лицо мн.число"/>
    <s v="лицо"/>
    <x v="1"/>
  </r>
  <r>
    <x v="1"/>
    <s v="прошедшее"/>
    <s v="3 лицо мн.число"/>
    <s v="неопределённое лицо"/>
    <x v="1"/>
  </r>
  <r>
    <x v="1"/>
    <s v="прошедшее"/>
    <s v="3 лицо ед.число"/>
    <s v="лицо"/>
    <x v="0"/>
  </r>
  <r>
    <x v="1"/>
    <s v="прошедшее"/>
    <s v="3 лицо ед.число"/>
    <s v="лицо"/>
    <x v="1"/>
  </r>
  <r>
    <x v="1"/>
    <s v="прошедшее"/>
    <s v="3 лицо ед.число"/>
    <s v="неопределённое лицо"/>
    <x v="3"/>
  </r>
  <r>
    <x v="1"/>
    <s v="прошедшее"/>
    <s v="3 лицо ед.число"/>
    <s v="лицо"/>
    <x v="3"/>
  </r>
  <r>
    <x v="1"/>
    <s v="прошедшее"/>
    <s v="3 лицо ед.число"/>
    <s v="лицо"/>
    <x v="1"/>
  </r>
  <r>
    <x v="1"/>
    <s v="прошедшее"/>
    <s v="3 лицо ед.число"/>
    <s v="лицо"/>
    <x v="3"/>
  </r>
  <r>
    <x v="1"/>
    <s v="прошедшее"/>
    <s v="3 лицо ед.число"/>
    <s v="лицо"/>
    <x v="1"/>
  </r>
  <r>
    <x v="1"/>
    <s v="прошедшее"/>
    <s v="3 лицо ед.число"/>
    <s v="лицо"/>
    <x v="2"/>
  </r>
  <r>
    <x v="1"/>
    <s v="прошедшее"/>
    <s v="3 лицо мн.число"/>
    <s v="лицо"/>
    <x v="2"/>
  </r>
  <r>
    <x v="1"/>
    <s v="прошедшее"/>
    <s v="3 лицо ед.число"/>
    <s v="лицо"/>
    <x v="2"/>
  </r>
  <r>
    <x v="1"/>
    <s v="прошедшее"/>
    <s v="3 лицо ед.число"/>
    <s v="неопределённое лицо"/>
    <x v="3"/>
  </r>
  <r>
    <x v="1"/>
    <s v="прошедшее"/>
    <s v="3 лицо ед.число"/>
    <s v="лицо"/>
    <x v="2"/>
  </r>
  <r>
    <x v="1"/>
    <s v="прошедшее"/>
    <s v="3 лицо мн.число"/>
    <s v="лицо"/>
    <x v="1"/>
  </r>
  <r>
    <x v="1"/>
    <s v="прошедшее"/>
    <s v="3 лицо ед.число"/>
    <s v="лицо"/>
    <x v="0"/>
  </r>
  <r>
    <x v="1"/>
    <s v="прошедшее"/>
    <s v="3 лицо ед.число"/>
    <s v="лицо"/>
    <x v="2"/>
  </r>
  <r>
    <x v="1"/>
    <s v="прошедшее"/>
    <s v="3 лицо ед.число"/>
    <s v="лицо"/>
    <x v="0"/>
  </r>
  <r>
    <x v="1"/>
    <s v="прошедшее"/>
    <s v="3 лицо мн.число"/>
    <s v="лицо"/>
    <x v="2"/>
  </r>
  <r>
    <x v="1"/>
    <s v="прошедшее"/>
    <s v="3 лицо ед.число"/>
    <s v="лицо"/>
    <x v="2"/>
  </r>
  <r>
    <x v="1"/>
    <s v="будущее"/>
    <s v="2 лицо ед.число"/>
    <s v="лицо"/>
    <x v="1"/>
  </r>
  <r>
    <x v="2"/>
    <m/>
    <m/>
    <m/>
    <x v="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1">
  <r>
    <x v="0"/>
    <s v="прошедшее"/>
    <s v="3 лицо ед.число"/>
    <s v="лицо"/>
    <s v="лицо"/>
    <x v="0"/>
  </r>
  <r>
    <x v="0"/>
    <s v="прошедшее"/>
    <s v="3 лицо мн.число"/>
    <s v="неопределённое лицо"/>
    <s v="неодушувлённый конкретный объект"/>
    <x v="1"/>
  </r>
  <r>
    <x v="0"/>
    <s v="прошедшее"/>
    <s v="3 лицо ед.число"/>
    <s v="лицо"/>
    <s v="абстрактный объект"/>
    <x v="2"/>
  </r>
  <r>
    <x v="0"/>
    <s v="прошедшее"/>
    <s v="3 лицо ед.число"/>
    <s v="лицо"/>
    <s v="абстрактный объект"/>
    <x v="0"/>
  </r>
  <r>
    <x v="0"/>
    <s v="будущее"/>
    <s v="2 лицо ед.число"/>
    <s v="абстрактное лицо"/>
    <s v="абстрактный объект"/>
    <x v="0"/>
  </r>
  <r>
    <x v="0"/>
    <s v="будущее"/>
    <s v="2 лицо ед.число"/>
    <s v="абстрактное лицо"/>
    <s v="абстрактный объект"/>
    <x v="2"/>
  </r>
  <r>
    <x v="0"/>
    <s v="прошедшее"/>
    <s v="3 лицо ед.число"/>
    <s v="лицо"/>
    <s v="отсутствует"/>
    <x v="0"/>
  </r>
  <r>
    <x v="0"/>
    <s v="прошедшее"/>
    <s v="3 лицо мн.число"/>
    <s v="неопределённое лицо"/>
    <s v="абстрактный объект"/>
    <x v="2"/>
  </r>
  <r>
    <x v="0"/>
    <s v="прошедшее"/>
    <s v="3 лицо ед.число"/>
    <s v="лицо"/>
    <s v="конкретное лицо"/>
    <x v="3"/>
  </r>
  <r>
    <x v="0"/>
    <s v="прошедшее"/>
    <s v="3 лицо мн.число"/>
    <s v="неопределённое лицо"/>
    <s v="отсутствует"/>
    <x v="0"/>
  </r>
  <r>
    <x v="0"/>
    <s v="прошедшее"/>
    <s v="3 лицо ед.число"/>
    <s v="абстрактное лицо"/>
    <s v="конкретное лицо"/>
    <x v="4"/>
  </r>
  <r>
    <x v="0"/>
    <s v="будущее"/>
    <s v="1 лицо ед.число"/>
    <s v="лицо"/>
    <s v="абстрактный объект"/>
    <x v="0"/>
  </r>
  <r>
    <x v="0"/>
    <s v="будущее"/>
    <s v="2 лицо ед.число"/>
    <s v="абстрактное лицо"/>
    <s v="абстрактный объект"/>
    <x v="2"/>
  </r>
  <r>
    <x v="0"/>
    <s v="будущее"/>
    <s v="2 лицо ед.число"/>
    <s v="абстрактное лицо"/>
    <s v="лицо"/>
    <x v="0"/>
  </r>
  <r>
    <x v="0"/>
    <s v="прошедшее"/>
    <s v="3 лицо ед.число"/>
    <s v="лицо"/>
    <s v="неодушувлённый конкретный объект"/>
    <x v="0"/>
  </r>
  <r>
    <x v="0"/>
    <s v="прошедшее"/>
    <s v="3 лицо ед.число"/>
    <s v="лицо"/>
    <s v="неодушувлённый конкретный объект"/>
    <x v="0"/>
  </r>
  <r>
    <x v="0"/>
    <s v="прошедшее"/>
    <s v="3 лицо ед.число"/>
    <s v="абстрактное лицо"/>
    <s v="неодушувлённый конкретный объект"/>
    <x v="1"/>
  </r>
  <r>
    <x v="0"/>
    <s v="прошедшее"/>
    <s v="3 лицо ед.число"/>
    <s v="лицо"/>
    <s v="неодушувлённый конкретный объект"/>
    <x v="1"/>
  </r>
  <r>
    <x v="0"/>
    <s v="прошедшее"/>
    <s v="3 лицо мн.число"/>
    <s v="абстарктные объекты"/>
    <s v="отсутствует"/>
    <x v="0"/>
  </r>
  <r>
    <x v="0"/>
    <s v="прошедшее"/>
    <s v="2 лицо ед.число"/>
    <s v="абстрактное лицо"/>
    <s v="абстрактный объект"/>
    <x v="0"/>
  </r>
  <r>
    <x v="0"/>
    <s v="прошедшее"/>
    <s v="3 лицо ед.число"/>
    <s v="абстрактное лицо"/>
    <s v="абстрактный объект"/>
    <x v="0"/>
  </r>
  <r>
    <x v="0"/>
    <s v="прошедшее"/>
    <s v="3 лицо мн.число"/>
    <s v="лицо"/>
    <s v="абстрактный объект"/>
    <x v="0"/>
  </r>
  <r>
    <x v="0"/>
    <s v="прошедшее"/>
    <s v="3 лицо ед.число"/>
    <s v="неопределённое лицо"/>
    <s v="абстрактный объект"/>
    <x v="0"/>
  </r>
  <r>
    <x v="0"/>
    <s v="будущее"/>
    <s v="3 лицо ед.число"/>
    <s v="лицо"/>
    <s v="конкретное лицо"/>
    <x v="0"/>
  </r>
  <r>
    <x v="0"/>
    <s v="будущее"/>
    <s v="3 лицо ед.число"/>
    <s v="лицо"/>
    <s v="конкретное лицо"/>
    <x v="0"/>
  </r>
  <r>
    <x v="1"/>
    <s v="прошедшее"/>
    <s v="3 лицо ед.число"/>
    <s v="лицо"/>
    <s v="абстрактный объект"/>
    <x v="2"/>
  </r>
  <r>
    <x v="1"/>
    <s v="прошедшее"/>
    <s v="3 лицо мн.число"/>
    <s v="неопределённое лицо"/>
    <s v="отсутствует"/>
    <x v="0"/>
  </r>
  <r>
    <x v="1"/>
    <s v="прошедшее"/>
    <s v="3 лицо мн.число"/>
    <s v="неопределённое лицо"/>
    <s v="неодушувлённый конкретный объект"/>
    <x v="1"/>
  </r>
  <r>
    <x v="1"/>
    <s v="прошедшее"/>
    <s v="3 лицо ед.число"/>
    <s v="лицо"/>
    <s v="лицо"/>
    <x v="5"/>
  </r>
  <r>
    <x v="1"/>
    <s v="прошедшее"/>
    <s v="3 лицо мн.число"/>
    <s v="лицо"/>
    <s v="неодушувлённый конкретный объект"/>
    <x v="1"/>
  </r>
  <r>
    <x v="1"/>
    <s v="прошедшее"/>
    <s v="3 лицо мн.число"/>
    <s v="неопределённое лицо"/>
    <s v="неодушувлённый конкретный объект"/>
    <x v="0"/>
  </r>
  <r>
    <x v="1"/>
    <s v="прошедшее"/>
    <s v="3 лицо ед.число"/>
    <s v="лицо"/>
    <s v="лицо"/>
    <x v="5"/>
  </r>
  <r>
    <x v="1"/>
    <s v="прошедшее"/>
    <s v="3 лицо ед.число"/>
    <s v="лицо"/>
    <s v="неодушувлённый конкретный объект"/>
    <x v="1"/>
  </r>
  <r>
    <x v="1"/>
    <s v="прошедшее"/>
    <s v="3 лицо ед.число"/>
    <s v="неопределённое лицо"/>
    <s v="отсутствует"/>
    <x v="0"/>
  </r>
  <r>
    <x v="1"/>
    <s v="прошедшее"/>
    <s v="3 лицо ед.число"/>
    <s v="лицо"/>
    <s v="отсутствует"/>
    <x v="0"/>
  </r>
  <r>
    <x v="1"/>
    <s v="прошедшее"/>
    <s v="3 лицо ед.число"/>
    <s v="лицо"/>
    <s v="неодушувлённый конкретный объект"/>
    <x v="1"/>
  </r>
  <r>
    <x v="1"/>
    <s v="прошедшее"/>
    <s v="3 лицо ед.число"/>
    <s v="лицо"/>
    <s v="отсутствует"/>
    <x v="0"/>
  </r>
  <r>
    <x v="1"/>
    <s v="прошедшее"/>
    <s v="3 лицо ед.число"/>
    <s v="лицо"/>
    <s v="неодушувлённый конкретный объект"/>
    <x v="0"/>
  </r>
  <r>
    <x v="1"/>
    <s v="прошедшее"/>
    <s v="3 лицо ед.число"/>
    <s v="лицо"/>
    <s v="абстрактный объект"/>
    <x v="0"/>
  </r>
  <r>
    <x v="1"/>
    <s v="прошедшее"/>
    <s v="3 лицо мн.число"/>
    <s v="лицо"/>
    <s v="абстрактный объект"/>
    <x v="2"/>
  </r>
  <r>
    <x v="1"/>
    <s v="прошедшее"/>
    <s v="3 лицо ед.число"/>
    <s v="лицо"/>
    <s v="абстрактный объект"/>
    <x v="0"/>
  </r>
  <r>
    <x v="1"/>
    <s v="прошедшее"/>
    <s v="3 лицо ед.число"/>
    <s v="неопределённое лицо"/>
    <s v="отсутствует"/>
    <x v="0"/>
  </r>
  <r>
    <x v="1"/>
    <s v="прошедшее"/>
    <s v="3 лицо ед.число"/>
    <s v="лицо"/>
    <s v="абстрактный объект"/>
    <x v="0"/>
  </r>
  <r>
    <x v="1"/>
    <s v="прошедшее"/>
    <s v="3 лицо мн.число"/>
    <s v="лицо"/>
    <s v="неодушувлённый конкретный объект"/>
    <x v="5"/>
  </r>
  <r>
    <x v="1"/>
    <s v="прошедшее"/>
    <s v="3 лицо ед.число"/>
    <s v="лицо"/>
    <s v="лицо"/>
    <x v="5"/>
  </r>
  <r>
    <x v="1"/>
    <s v="прошедшее"/>
    <s v="3 лицо ед.число"/>
    <s v="лицо"/>
    <s v="абстрактный объект"/>
    <x v="0"/>
  </r>
  <r>
    <x v="1"/>
    <s v="прошедшее"/>
    <s v="3 лицо ед.число"/>
    <s v="лицо"/>
    <s v="лицо"/>
    <x v="1"/>
  </r>
  <r>
    <x v="1"/>
    <s v="прошедшее"/>
    <s v="3 лицо мн.число"/>
    <s v="лицо"/>
    <s v="абстрактный объект"/>
    <x v="0"/>
  </r>
  <r>
    <x v="1"/>
    <s v="прошедшее"/>
    <s v="3 лицо ед.число"/>
    <s v="лицо"/>
    <s v="абстрактный объект"/>
    <x v="2"/>
  </r>
  <r>
    <x v="1"/>
    <s v="будущее"/>
    <s v="2 лицо ед.число"/>
    <s v="лицо"/>
    <s v="неодушувлённый конкретный объект"/>
    <x v="1"/>
  </r>
  <r>
    <x v="2"/>
    <m/>
    <m/>
    <m/>
    <m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1">
  <r>
    <x v="0"/>
    <x v="0"/>
    <x v="0"/>
    <s v=" "/>
    <s v="«Звезда» "/>
    <s v="2002 "/>
    <s v="журнал "/>
    <s v="омонимия не снята"/>
    <s v="  ― Ни с кем я вас не спутал, ― говорит.  [Михаил Панин. Камикадзе // «Звезда», 2002] [омонимия не снята]"/>
    <x v="0"/>
  </r>
  <r>
    <x v="1"/>
    <x v="1"/>
    <x v="1"/>
    <s v=" "/>
    <s v="Анастас Микоян. Так было "/>
    <s v="1999 "/>
    <s v="книга "/>
    <s v="омонимия не снята"/>
    <s v=" Говорят, в ряде колхозов нарочно спутали хорошее зерно с отходами, чтобы после разговора о заготовках иметь это как ресурсы для маневрирования.  [Анастас Микоян. Так было (1971-1974)] [омонимия не снята]"/>
    <x v="0"/>
  </r>
  <r>
    <x v="2"/>
    <x v="0"/>
    <x v="0"/>
    <s v=" "/>
    <s v="Вера Белоусова. «Жил на свете рыцарь бедный» "/>
    <s v="2000 "/>
    <s v="книга "/>
    <s v="омонимия не снята"/>
    <s v="  ― Я хотела бы поговорить с… господином Мышкиным, ― с легкой запинкой произнес женский голос, который Мышкин не спутал бы ни с каким другим.  [Вера Белоусова. Жил на свете рыцарь бедный (2000)] [омонимия не снята]"/>
    <x v="0"/>
  </r>
  <r>
    <x v="3"/>
    <x v="0"/>
    <x v="0"/>
    <s v=" "/>
    <s v="Сергей Солоух. Клуб одиноких сердец унтера Пришибеева "/>
    <s v="2002 "/>
    <s v="книга "/>
    <s v="омонимия не снята"/>
    <s v="  Хорошо, Шурка Лыткин, одноклассник, фэн, свидетель и участник «тех самых» развеселых танцев, студент-механик ныне, как раз в этот самый вечер дежурил в раздевалке, услышал шум, из амбразуры выскочил, оттер майора отставного, словами правильными, строгими сбил с панталыку, мысли спутал, суровым, грозным:  [Сергей Солоух. Клуб одиноких сердец унтера Пришибеева (1991-1995)] [омонимия не снята]"/>
    <x v="0"/>
  </r>
  <r>
    <x v="0"/>
    <x v="1"/>
    <x v="2"/>
    <s v="путешествия "/>
    <s v="В. Голованов. Остров, или оправдание бессмысленных путешествий "/>
    <s v="2002 "/>
    <s v="книга "/>
    <s v="омонимия не снята"/>
    <s v=" Я начал подниматься наверх, как вдруг услышал крик, который ни с чем не спутаешь, единожды услышав, ― это был крик сокола-сапсана!  [Василий Голованов. Остров, или оправдание бессмысленных путешествий (2002)] [омонимия не снята]"/>
    <x v="0"/>
  </r>
  <r>
    <x v="4"/>
    <x v="2"/>
    <x v="2"/>
    <s v="наука и технологии, история, искусство и культура "/>
    <s v="М. Л. Гаспаров. Занимательная Греция "/>
    <s v="1998 "/>
    <s v="книга "/>
    <s v="омонимия не снята"/>
    <s v="  Пять поэтов, пять отрывков, один короче другого; и ни одного не спутаешь с другим.  [М. Л. Гаспаров. Занимательная Греция (1998)] [омонимия не снята]"/>
    <x v="0"/>
  </r>
  <r>
    <x v="5"/>
    <x v="1"/>
    <x v="1"/>
    <s v=" "/>
    <s v="Анна Ларина-Бухарина. Незабываемое "/>
    <s v="2002 "/>
    <s v="книга "/>
    <s v="омонимия не снята"/>
    <s v="  ― Это не я спутала, это он перепутал.  [Анна Ларина (Бухарина). Незабываемое (1986-1990)] [омонимия не снята]"/>
    <x v="0"/>
  </r>
  <r>
    <x v="6"/>
    <x v="1"/>
    <x v="3"/>
    <s v="искусство и культура "/>
    <s v="«Октябрь» "/>
    <s v="2001 "/>
    <s v="журнал "/>
    <s v="омонимия не снята"/>
    <s v=" При этом, по-видимому, спутали русское зарубежье с зарубежьем вообще, а «возвращенную» литературу с тем, что реально овладевает умами по ту сторону рухнувшего железного занавеса.  [Ольга Славникова. Ландшафты хеппи-энда // «Октябрь», 2001] [омонимия не снята]"/>
    <x v="0"/>
  </r>
  <r>
    <x v="7"/>
    <x v="0"/>
    <x v="0"/>
    <s v=" "/>
    <s v="Гроссман В. Жизнь и судьба "/>
    <s v="1992 "/>
    <s v="книга "/>
    <s v="омонимия снята"/>
    <s v="  Но сейчас он растерялся, его поразило, что, оглушённый и ослеплённый, он утешался, чувствуя немца рядом, что руку немца он спутал с поляковской рукой.  [Василий Гроссман. Жизнь и судьба, часть 2 (1960)] [омонимия снята]"/>
    <x v="0"/>
  </r>
  <r>
    <x v="8"/>
    <x v="0"/>
    <x v="4"/>
    <s v=" "/>
    <s v="Конецкий В. Начало конца комедии "/>
    <s v="1990 "/>
    <s v="книга "/>
    <s v="омонимия не снята"/>
    <s v="  ― А я на судно приехал, она с саксофоном у трапа сидела.   ― Может, спутали?  У нее корнет-а-пистон.  [Виктор Конецкий. Вчерашние заботы (1979)] [омонимия не снята]"/>
    <x v="0"/>
  </r>
  <r>
    <x v="9"/>
    <x v="0"/>
    <x v="0"/>
    <s v=" "/>
    <s v="М. Зосимкина. Ты проснешься. Монреаль: Accent Graphics Communications "/>
    <s v="2015 "/>
    <s v="книга "/>
    <s v="омонимия не снята"/>
    <s v="  Естественно, Катя была тут не единственная девушка-стрелок, но, к примеру, у Олеси этих проблем не было, поскольку Олеся имела такие ярко выраженные формы ― что сзади, что сбоку, что спереди, ― что даже в одеянии буддийского монаха ее никто с пацаном бы не спутал.  [Марина Зосимкина. Ты проснешься. Книга первая (2015)] [омонимия не снята]"/>
    <x v="0"/>
  </r>
  <r>
    <x v="10"/>
    <x v="3"/>
    <x v="0"/>
    <s v=" "/>
    <s v="Пришвина В. Д. Невидимый град. М.: Молодая гвардия, 2003 "/>
    <s v="2003 "/>
    <s v="книга "/>
    <s v="омонимия не снята"/>
    <s v=" Правда, Михаил Сергеевич мой «благодетель», но любви к нему, как бы я того ни желала, ничто не может во мне пробудить: теперь-то уж я не спутаю ее ни с чем!  [В. Д. Пришвина. Невидимый град (1962)] [омонимия не снята]"/>
    <x v="0"/>
  </r>
  <r>
    <x v="11"/>
    <x v="4"/>
    <x v="3"/>
    <s v="техника "/>
    <s v="«Наука и жизнь» "/>
    <s v="2006 "/>
    <s v="журнал "/>
    <s v="омонимия не снята"/>
    <s v=" Ведь не спутаешь между собой даже звучащие на одной ноте, скажем, скрипку и гобой или гитару и фортепьяно.  [Д. Меркулов. Концертный зал в квартире // «Наука и жизнь», 2006] [омонимия не снята]"/>
    <x v="0"/>
  </r>
  <r>
    <x v="12"/>
    <x v="0"/>
    <x v="0"/>
    <s v=" "/>
    <s v="Е. Е. Сухов. Делу конец -- сроку начало "/>
    <s v="2007 "/>
    <s v="книга "/>
    <s v="омонимия не снята"/>
    <s v=" Так что его не спутаешь ни с кем.  [Евгений Сухов. Делу конец -- сроку начало (2007)] [омонимия не снята]"/>
    <x v="0"/>
  </r>
  <r>
    <x v="13"/>
    <x v="0"/>
    <x v="5"/>
    <s v=" "/>
    <s v="«Студенческий меридиан» "/>
    <s v="1985 "/>
    <s v="журнал "/>
    <s v="омонимия не снята"/>
    <s v=" ― Когда я настроился, чтобы получить ответ на свой билет, передатчик спутал канал и в двоичном коде стал выдавать мне положительные черты Наташи Ростовой и отрицательные ― Ноздрева, а затем и вовсе замолчал.  [Параллель // «Студенческий меридиан», 1985] [омонимия не снята]"/>
    <x v="0"/>
  </r>
  <r>
    <x v="6"/>
    <x v="0"/>
    <x v="0"/>
    <s v=" "/>
    <s v="Андрей Измайлов. Трюкач "/>
    <s v="2001 "/>
    <s v="книга "/>
    <s v="омонимия не снята"/>
    <s v="  Но в сию минуту он не только бы спутал ароматические букеты одного, другого… пятого, он, хлебни глоток, не отличил бы вкус и запах от скипидара-ацетона.  [Андрей Измайлов. Трюкач (2001)] [омонимия не снята]"/>
    <x v="0"/>
  </r>
  <r>
    <x v="14"/>
    <x v="0"/>
    <x v="4"/>
    <s v=" "/>
    <s v="Солоухин В. А. Смех за левым плечом: Книга прозы "/>
    <s v="1989 "/>
    <s v="книга "/>
    <s v="омонимия не снята"/>
    <s v=" В ямке подкладыш ― яйцо, сшитое из белой тряпочки, продолговатый мячик, набитый ватой, угловатый, кургузый, который никакое существо не спутало бы с настоящим куриным яйцом, кроме самой курицы, впрочем, может быть, более снисходительной, нежели неразборчивой и глупой.  [В. А. Солоухин. Смех за левым плечом (1989)] [омонимия не снята]"/>
    <x v="0"/>
  </r>
  <r>
    <x v="15"/>
    <x v="0"/>
    <x v="6"/>
    <s v=" "/>
    <s v=" "/>
    <s v=" "/>
    <s v="книга "/>
    <s v="омонимия не снята"/>
    <s v=" ― Над щипачем, с воровскими целями посещавшим оперу, иронизировали: ― Ты ее часом не с цирком спутал?  [Г. Г. Демидов. Оборванный дуэт (1973)] [омонимия не снята]"/>
    <x v="0"/>
  </r>
  <r>
    <x v="16"/>
    <x v="0"/>
    <x v="4"/>
    <s v=" "/>
    <s v="«Наука и религия» "/>
    <s v="2011 "/>
    <s v="журнал "/>
    <s v="омонимия не снята"/>
    <s v=" Едва успел встать на праведный путь князь Владимир Красное Солнышко, едва осенил он крестом Днепр, его берега, народ окрестный и себя, как злоба, зависть, алчность потомков (по слухам, один из сыновей убил этого великого князя) спутали всё.  [Лариса Васильева. Озарённая // «Наука и религия», 2011] [омонимия не снята]"/>
    <x v="0"/>
  </r>
  <r>
    <x v="0"/>
    <x v="0"/>
    <x v="0"/>
    <s v=" "/>
    <s v="«Звезда» "/>
    <s v="2002 "/>
    <s v="журнал "/>
    <s v="омонимия не снята"/>
    <s v="  Как будто он и сам не узнал бы Шурку ― его голос ни с чьим не спутаешь.  [Михаил Чулаки. Примус // «Звезда», 2002] [омонимия не снята]"/>
    <x v="0"/>
  </r>
  <r>
    <x v="2"/>
    <x v="5"/>
    <x v="3"/>
    <s v="история, политика и общественная жизнь "/>
    <s v="«Родина» "/>
    <s v="2000 "/>
    <s v="журнал "/>
    <s v="омонимия не снята"/>
    <s v="  Противостояние германских разведок и русской контрразведки в годы Первой мировой не было закончено.  Революция в России спутала все карты.  В феврале 1917 года из Петроградской тюрьмы было выпущено, несмотря на все протесты контрразведки, 97 человек, арестованных по обвинению в сотрудничестве с врагом.  [Александр Филюшкин. Рус, не спи в гробу! // «Родина», 2000] [омонимия не снята]"/>
    <x v="0"/>
  </r>
  <r>
    <x v="17"/>
    <x v="6"/>
    <x v="7"/>
    <s v="частная жизнь "/>
    <s v="«Знамя» "/>
    <s v="1989 "/>
    <s v="журнал "/>
    <s v="омонимия не снята"/>
    <s v="  Спутники все смешали и спутали, все как-то вдруг устарело и стало меньше ― особенно стихи.  [А. Т. Твардовский. Из рабочих тетрадей (1957) // «Знамя», 1989] [омонимия не снята]"/>
    <x v="0"/>
  </r>
  <r>
    <x v="18"/>
    <x v="0"/>
    <x v="0"/>
    <s v=" "/>
    <s v="Ю. Герман. Россия молодая. Книга 1 "/>
    <s v="1954 "/>
    <s v="книга "/>
    <s v="омонимия не снята"/>
    <s v="  Полковник Снивин молчал, похлопывая коня рукой в перчатке с раструбом, смотрел за порядком, чтобы никто ничего не спутал.  [Ю. П. Герман. Россия молодая. Часть первая (1952)] [омонимия не снята]"/>
    <x v="0"/>
  </r>
  <r>
    <x v="19"/>
    <x v="0"/>
    <x v="6"/>
    <s v=" "/>
    <s v="Асар Эппель. Шампиньон моей жизни "/>
    <s v="2000 "/>
    <s v="книга "/>
    <s v="омонимия не снята"/>
    <s v=" И если проделать все как надо, то, с каждым разом укорачивая веревку, коза спутает себе в конце концов все четыре ноги и неподвижно встанет или повалится, но истошно примется блеять, а ты уходишь куда шел, и выходит в очках Юливанна распутывать козьи ножки, а тут как раз, дымя козьей ножкой, идет Порфирий Петрович Государев и говорит: «Разводила бы ты, соседка, как вот я,живую  белую мышь для одного институту, и коза ― ну ее в жердь, и жалованье дают, и крупа тебе остается!»  [Асар Эппель. Леонидова победа (1990-2000)] [омонимия не снята]"/>
    <x v="0"/>
  </r>
  <r>
    <x v="14"/>
    <x v="0"/>
    <x v="0"/>
    <s v=" "/>
    <s v="Ф. А. Искандер. «Сандро из Чегема». Кн. 3 "/>
    <s v="1989 "/>
    <s v="книга "/>
    <s v="омонимия не снята"/>
    <s v="  Пастух снова ему спутал ноги, но он уже не собирался выпрыгивать из машины.  [Фазиль Искандер. Сандро из Чегема (Книга 3) (1989)] [омонимия не снята]"/>
    <x v="0"/>
  </r>
  <r>
    <x v="20"/>
    <x v="7"/>
    <x v="8"/>
    <s v="частная жизнь "/>
    <s v="Форум на eva.ru "/>
    <s v="2005 "/>
    <s v="электронный текст "/>
    <s v="омонимия не снята"/>
    <s v="  А, я поняла.  Девушка его со вторым перепутала.  Это во втором пробники Туморроу давать будут.  [Красота, здоровье, отдых: Косметика и парфюм (форум) (2004)] [омонимия не снята]"/>
    <x v="1"/>
  </r>
  <r>
    <x v="4"/>
    <x v="0"/>
    <x v="4"/>
    <s v=" "/>
    <s v="«Новый Мир» "/>
    <s v="1998 "/>
    <s v="журнал "/>
    <s v="омонимия не снята"/>
    <s v=" Вы кого ищете?  Перепутали?  Если вы к Ибрагиму, так он в город уехал.  [Андрей Волос. Дом у реки // «Новый Мир», 1998] [омонимия не снята]"/>
    <x v="1"/>
  </r>
  <r>
    <x v="6"/>
    <x v="1"/>
    <x v="3"/>
    <s v="наука и технологии "/>
    <s v="«Известия» "/>
    <s v="2001.08.29 "/>
    <s v="газета "/>
    <s v="омонимия не снята"/>
    <s v="  Короп Елена.  Учебники перепутали с агитками.  Премьер-министром назначен Сергей Кириенко  [Елена Короп. Учебники перепутали с агитками. Премьер-министром назначен Сергей Кириенко (2001) // «Известия», 2001.08.29] [омонимия не снята]"/>
    <x v="1"/>
  </r>
  <r>
    <x v="21"/>
    <x v="8"/>
    <x v="9"/>
    <s v="частная жизнь "/>
    <s v="Юлий Даниэль. «Я всё сбиваюсь на литературу…» Письма из заключения. Стихи "/>
    <s v="2000 "/>
    <s v="книга "/>
    <s v="омонимия не снята"/>
    <s v=" Возникло два предположения: либо это ― вступительный членский взнос от Наташки в Клуб Дураков; либо она просто перепутала Тредьяковского и Коллинза (или меня и Футмана?  [Юлий Даниэль. Письма из заключения (1966-1970)] [омонимия не снята]"/>
    <x v="1"/>
  </r>
  <r>
    <x v="22"/>
    <x v="0"/>
    <x v="10"/>
    <s v=" "/>
    <s v="Валентин Постников. Карандаш и Самоделкин в стране фараонов "/>
    <s v="1997 "/>
    <s v="книга "/>
    <s v="омонимия не снята"/>
    <s v="  ― Сам не пойму, ― может быть, мы не в ту комнату вошли?  Может, мы двери перепутали?   ― Нет, я точно помню: это та самая комната-ловушка, ― ответил уверенным тоном Дырка.  [Валентин Постников. Карандаш и Самоделкин в стране фараонов (1997)] [омонимия не снята]"/>
    <x v="1"/>
  </r>
  <r>
    <x v="23"/>
    <x v="0"/>
    <x v="4"/>
    <s v=" "/>
    <s v="Василий Белов. Сельские повести "/>
    <s v="1971 "/>
    <s v="книга "/>
    <s v="омонимия не снята"/>
    <s v=" Гляжу, штаны-то у меня не свои, ― видать, мылись да штаны перепутали.  [Василий Белов. Привычное дело (1967)] [омонимия не снята]"/>
    <x v="1"/>
  </r>
  <r>
    <x v="24"/>
    <x v="0"/>
    <x v="0"/>
    <s v=" "/>
    <s v="«Октябрь» "/>
    <s v="2003 "/>
    <s v="журнал "/>
    <s v="омонимия не снята"/>
    <s v=" Возможно, я его с каким-то другим Новиковым перепутал ― из писателей, возможно…  [Анатолий Найман. Все и каждый // «Октябрь», 2003] [омонимия не снята]"/>
    <x v="1"/>
  </r>
  <r>
    <x v="25"/>
    <x v="0"/>
    <x v="5"/>
    <s v=" "/>
    <s v="Анатолий Трушкин. 208 избранных страниц "/>
    <s v="1999 "/>
    <s v="книга "/>
    <s v="омонимия не снята"/>
    <s v=" Извините, у вас дверь была открыта, а я квартиры перепутал, ваша восьмая, а мне нужна четыреста сорок четвертая.  [Анатолий Трушкин. 208 избранных страниц (1990-2002)] [омонимия не снята]"/>
    <x v="1"/>
  </r>
  <r>
    <x v="26"/>
    <x v="0"/>
    <x v="11"/>
    <s v=" "/>
    <s v="Юрский С. Содержимое ящика "/>
    <s v="1998 "/>
    <s v="книга "/>
    <s v="омонимия не снята"/>
    <s v=" Кто-то где-то сорвался, перепутал, не туда положил.  [Сергей Юрский. Осенний бал (1993)] [омонимия не снята]"/>
    <x v="1"/>
  </r>
  <r>
    <x v="2"/>
    <x v="0"/>
    <x v="4"/>
    <s v=" "/>
    <s v="Вера Белоусова. Второй выстрел "/>
    <s v="2000 "/>
    <s v="книга "/>
    <s v="омонимия не снята"/>
    <s v=" ― подумала я.  ― Неужели Люська перепутала?»   Я еще раз попыталась его повернуть, потянула дверь на себя, потом, наоборот, слегка нажала, пытаясь найти правильное положение, и тут дверь открылась.  [Вера Белоусова. По субботам не стреляю (2000)] [омонимия не снята]"/>
    <x v="1"/>
  </r>
  <r>
    <x v="8"/>
    <x v="0"/>
    <x v="0"/>
    <s v=" "/>
    <s v=" "/>
    <s v="2004 "/>
    <s v="книга "/>
    <s v="омонимия не снята"/>
    <s v=" Эта пара ― негр банту и малайка ― перепутала полушария и явилась сюда покататься, видите ли, на лыжах.  [Аркадий Стругацкий, Борис Стругацкий. Жук в муравейнике (1979)] [омонимия не снята]"/>
    <x v="1"/>
  </r>
  <r>
    <x v="0"/>
    <x v="5"/>
    <x v="1"/>
    <s v=" "/>
    <s v="Сати Спивакова. Не всё "/>
    <s v="2002 "/>
    <s v="книга "/>
    <s v="омонимия снята"/>
    <s v=" Володя начал убеждать Темирканова, что тот перепутал― он всегда желанный гость на фестивале, но сам же и отказался от участия.  [Сати Спивакова. Не всё (2002)] [омонимия снята]"/>
    <x v="1"/>
  </r>
  <r>
    <x v="4"/>
    <x v="0"/>
    <x v="0"/>
    <s v=" "/>
    <s v="Сергей Осипов. Страсти по Фоме "/>
    <s v="2003 "/>
    <s v="книга "/>
    <s v="омонимия не снята"/>
    <s v="  Нина, вытирая руки, от предчувствия, о фиговый листок передника, появилась под его рукой.   ― Ты что… заказ перепутала?  ― Внушительно посмотрел мэтр на нее.  [Сергей Осипов. Страсти по Фоме. Книга третья. Книга Перемен (1998)] [омонимия не снята]"/>
    <x v="1"/>
  </r>
  <r>
    <x v="24"/>
    <x v="1"/>
    <x v="3"/>
    <s v="политика и общественная жизнь "/>
    <s v="«Московские новости» "/>
    <s v="2003 "/>
    <s v="газета "/>
    <s v="омонимия не снята"/>
    <s v=" Известный как один из самых сильных думских шахматистов, Жуков мог бы сказать, что правительство перепутало порядок ходов.  [Борис Вишневский. Двухпроцентная реформа // «Московские новости», 2003] [омонимия не снята]"/>
    <x v="1"/>
  </r>
  <r>
    <x v="16"/>
    <x v="1"/>
    <x v="3"/>
    <s v="история, техника, наука и технологии, астрономия "/>
    <s v="«Знание - сила» "/>
    <s v="2011 "/>
    <s v="журнал "/>
    <s v="омонимия не снята"/>
    <s v=" Неужели отцы ― основатели современной космонавтики перепутали: подарили нам не ключи от седьмого неба, а ключи от пресловутого ящика Пандоры?  [Александр Волков. Время вековых открытий еще впереди! // «Знание - сила», 2011] [омонимия не снята]"/>
    <x v="1"/>
  </r>
  <r>
    <x v="22"/>
    <x v="0"/>
    <x v="5"/>
    <s v=" "/>
    <s v="Никита Богословский. Заметки на полях шляпы "/>
    <s v="1997 "/>
    <s v="книга "/>
    <s v="омонимия не снята"/>
    <s v="  26 ноября на вечернем сеансе во время премьеры фильма «Академик Бурдасов» киномеханик г-н Разбитной, находясь в нетрезвом состоянии, при демонстрации картины дважды (в начале и в конце) показал последнюю часть, начальные титры переместил в середину, а также перепутал последовательность всех остальных частей.  [Никита Богословский. Заметки на полях шляпы (1997)] [омонимия не снята]"/>
    <x v="1"/>
  </r>
  <r>
    <x v="14"/>
    <x v="5"/>
    <x v="2"/>
    <s v="образование "/>
    <s v="С. Л. Рябцева. Дети восьмидесятых "/>
    <s v="1989 "/>
    <s v="книга "/>
    <s v="омонимия не снята"/>
    <s v="  Молча показываю нелепицу ― ахают, удивляются:   ― Как же так…   ― Перепутал…   ― Забыл…   Крепко нас избили.  [С. Л. Рябцева. Дети восьмидесятых (1989)] [омонимия не снята]"/>
    <x v="1"/>
  </r>
  <r>
    <x v="27"/>
    <x v="1"/>
    <x v="1"/>
    <s v=" "/>
    <s v="Я. Харон. Злые песни Гийома дю Вентре. Прозаический комментарий к поэтической биографии "/>
    <s v="1989 "/>
    <s v="газета "/>
    <s v="омонимия не снята"/>
    <s v=" Он стал сажать их, как ему представлялось, вверх тормашками, а я ― из тех же намерений, но только с поправкой на то, что Юрка все перепутал, ― наоборот по сравнению с Юркой.  [Я. Е. Харон. Злые песни Гийома дю Вентре (1965) // Я. Харон. Злые песни Гийома дю Вентре. Прозаический комментарий к поэтической биографии, 1989] [омонимия не снята]"/>
    <x v="1"/>
  </r>
  <r>
    <x v="0"/>
    <x v="1"/>
    <x v="3"/>
    <s v="армия и вооруженные конфликты "/>
    <s v="«Коммерсантъ-Власть» "/>
    <s v="2002.02.26 "/>
    <s v="журнал "/>
    <s v="омонимия не снята"/>
    <s v=" Многократные допросы свидетелей показали, что люди, якобы видевшие буй, перепутали его с обыкновенной медузой, которые летом нередко заходят в Баренцево море.  [Владимир Саввин. Тайна зеленого буя (2002) // «Коммерсантъ-Власть», 2002.02.26] [омонимия не снята]"/>
    <x v="1"/>
  </r>
  <r>
    <x v="6"/>
    <x v="1"/>
    <x v="1"/>
    <s v=" "/>
    <s v="Зоя Масленикова. Борис Пастернак. Встречи "/>
    <s v="2002 "/>
    <s v="книга "/>
    <s v="омонимия не снята"/>
    <s v=" Сначала он удостоверился, что дверь закрыта, а потом вполголоса сообщил, что в разговорах Симочки о христианстве я перепутал двух Марий: то, что там написано о Марии Магдалине, на самом деле относится к Марии Египетской.  [Зоя Масленикова. Разговоры с Пастернаком (2001)] [омонимия не снята]"/>
    <x v="1"/>
  </r>
  <r>
    <x v="28"/>
    <x v="7"/>
    <x v="8"/>
    <s v="досуг, зрелища и развлечения "/>
    <s v=" "/>
    <s v=" "/>
    <s v="электронный текст "/>
    <s v="омонимия не снята"/>
    <s v=" [Женя, nick]   ты тему не перепутал, ми говорим о СS.  [коллективный. Форум: Серверные шутеры. CS 1.6 (2008-2010)] [омонимия не снята]"/>
    <x v="1"/>
  </r>
  <r>
    <x v="20"/>
    <x v="0"/>
    <x v="0"/>
    <s v=" "/>
    <s v="Дарья Донцова. Доллары царя Гороха "/>
    <s v="2004 "/>
    <s v="книга "/>
    <s v="омонимия не снята"/>
    <s v=" ― То-то Дегтярев обрадуется, когда узнает, что ты его с пугалом перепутала.  [Дарья Донцова. Доллары царя Гороха (2004)] [омонимия не снята]"/>
    <x v="1"/>
  </r>
  <r>
    <x v="11"/>
    <x v="0"/>
    <x v="0"/>
    <s v=" "/>
    <s v="Захар Прилепин. Санькя "/>
    <s v="2006 "/>
    <s v="книга "/>
    <s v="омонимия не снята"/>
    <s v="  ― Вы меня ни с кем не перепутали?  [Захар Прилепин. Санькя (2006)] [омонимия не снята]"/>
    <x v="1"/>
  </r>
  <r>
    <x v="29"/>
    <x v="0"/>
    <x v="0"/>
    <s v=" "/>
    <s v="Н. Берберова. Желещная женщина "/>
    <s v="1991 "/>
    <s v="книга "/>
    <s v="омонимия не снята"/>
    <s v=" Это мы и сами увидели, она перепутала все дела, с которыми сама же к нам и обратилась.  [Н. Н. Берберова. Железная женщина (1978-1980)] [омонимия не снята]"/>
    <x v="1"/>
  </r>
  <r>
    <x v="6"/>
    <x v="0"/>
    <x v="4"/>
    <s v=" "/>
    <s v="«Звезда» "/>
    <s v="2001 "/>
    <s v="журнал "/>
    <s v="омонимия не снята"/>
    <s v=" Он боялся, что перепутает этот дом с другими, ведь он уже убедился, что вовсе не узнавал родные места мгновенно, и даже спустя долгое время все еще сомневался, туда ли он попал.  [Мария Рыбакова. Паннония // «Звезда», 2001] [омонимия не снята]"/>
    <x v="1"/>
  </r>
  <r>
    <x v="30"/>
    <x v="9"/>
    <x v="12"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name="Сводная таблица6" cacheId="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B53" firstHeaderRow="2" firstDataRow="2" firstDataCol="1"/>
  <pivotFields count="1">
    <pivotField axis="axisRow" dataField="1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Количество из Author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4" cacheId="0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B51" firstHeaderRow="2" firstDataRow="2" firstDataCol="1"/>
  <pivotFields count="1">
    <pivotField axis="axisRow" dataField="1" showAll="0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</pivotFields>
  <rowFields count="1">
    <field x="0"/>
  </rowFields>
  <rowItems count="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Количество из Author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5" cacheId="2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G7" firstHeaderRow="1" firstDataRow="2" firstDataCol="1"/>
  <pivotFields count="5"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7" cacheId="2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H8" firstHeaderRow="1" firstDataRow="2" firstDataCol="1"/>
  <pivotFields count="5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5"/>
    </i>
    <i>
      <x v="6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7" cacheId="2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7" firstHeaderRow="1" firstDataRow="2" firstDataCol="1"/>
  <pivotFields count="2">
    <pivotField axis="axisRow" showAll="0">
      <items count="4">
        <item x="1"/>
        <item x="0"/>
        <item h="1" x="2"/>
        <item t="default"/>
      </items>
    </pivotField>
    <pivotField axis="axisCol" dataField="1" showAll="0">
      <items count="4">
        <item x="1"/>
        <item x="0"/>
        <item x="2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Количество из TENSE" fld="1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10" cacheId="5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F7" firstHeaderRow="1" firstDataRow="2" firstDataCol="1"/>
  <pivotFields count="3">
    <pivotField axis="axisRow" showAll="0">
      <items count="4">
        <item x="1"/>
        <item x="0"/>
        <item h="1" x="2"/>
        <item t="default"/>
      </items>
    </pivotField>
    <pivotField showAll="0">
      <items count="4">
        <item x="1"/>
        <item x="0"/>
        <item x="2"/>
        <item t="default"/>
      </items>
    </pivotField>
    <pivotField axis="axisCol" dataField="1" showAll="0">
      <items count="6">
        <item x="3"/>
        <item x="2"/>
        <item x="0"/>
        <item x="1"/>
        <item x="4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Количество из PERSONNUMBER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2" cacheId="5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14" firstHeaderRow="1" firstDataRow="2" firstDataCol="1"/>
  <pivotFields count="3">
    <pivotField axis="axisRow" showAll="0">
      <items count="4">
        <item x="1"/>
        <item x="0"/>
        <item x="2"/>
        <item t="default"/>
      </items>
    </pivotField>
    <pivotField axis="axisCol" showAll="0">
      <items count="4">
        <item x="1"/>
        <item x="0"/>
        <item x="2"/>
        <item t="default"/>
      </items>
    </pivotField>
    <pivotField axis="axisRow" dataField="1" showAll="0">
      <items count="6">
        <item x="3"/>
        <item x="2"/>
        <item x="0"/>
        <item x="1"/>
        <item h="1" x="4"/>
        <item t="default"/>
      </items>
    </pivotField>
  </pivotFields>
  <rowFields count="2">
    <field x="0"/>
    <field x="2"/>
  </rowFields>
  <rowItems count="10">
    <i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Количество из PERSONNUMBER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4" cacheId="15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F7" firstHeaderRow="1" firstDataRow="2" firstDataCol="1"/>
  <pivotFields count="4">
    <pivotField axis="axisRow" showAll="0">
      <items count="4">
        <item x="1"/>
        <item x="0"/>
        <item h="1" x="2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Col" dataField="1" showAll="0">
      <items count="6">
        <item x="3"/>
        <item x="2"/>
        <item x="0"/>
        <item x="1"/>
        <item x="4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Количество из PARTICIPANT1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Сводная таблица9" cacheId="29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G7" firstHeaderRow="1" firstDataRow="2" firstDataCol="1"/>
  <pivotFields count="5">
    <pivotField axis="axisRow" showAll="0">
      <items count="4">
        <item x="1"/>
        <item x="0"/>
        <item h="1" x="2"/>
        <item t="default"/>
      </items>
    </pivotField>
    <pivotField showAll="0"/>
    <pivotField showAll="0"/>
    <pivotField showAll="0"/>
    <pivotField axis="axisCol" dataField="1" showAll="0">
      <items count="8">
        <item x="2"/>
        <item x="4"/>
        <item x="0"/>
        <item x="1"/>
        <item m="1" x="6"/>
        <item x="3"/>
        <item x="5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5"/>
    </i>
    <i t="grand">
      <x/>
    </i>
  </colItems>
  <dataFields count="1">
    <dataField name="Количество из PARTICIPANT2" fld="4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Сводная таблица10" cacheId="61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H7" firstHeaderRow="1" firstDataRow="2" firstDataCol="1"/>
  <pivotFields count="6"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axis="axisCol" dataField="1" showAll="0">
      <items count="11">
        <item x="4"/>
        <item x="2"/>
        <item x="3"/>
        <item x="5"/>
        <item x="1"/>
        <item m="1" x="7"/>
        <item x="0"/>
        <item m="1" x="8"/>
        <item h="1" x="6"/>
        <item h="1" m="1" x="9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5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Количество из PARTICIPANT3" fld="5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Сводная таблица11" cacheId="67" applyNumberFormats="0" applyBorderFormats="0" applyFontFormats="0" applyPatternFormats="0" applyAlignmentFormats="0" applyWidthHeightFormats="1" dataCaption="Значения" updatedVersion="4" minRefreshableVersion="3" useAutoFormatting="1" itemPrintTitles="1" createdVersion="4" indent="0" outline="1" outlineData="1" gridDropZones="1" multipleFieldFilters="0">
  <location ref="A3:D35" firstHeaderRow="1" firstDataRow="2" firstDataCol="1"/>
  <pivotFields count="10">
    <pivotField axis="axisRow" dataField="1" showAll="0">
      <items count="32">
        <item x="18"/>
        <item x="17"/>
        <item x="7"/>
        <item x="10"/>
        <item x="27"/>
        <item x="21"/>
        <item x="23"/>
        <item x="1"/>
        <item x="15"/>
        <item x="29"/>
        <item x="8"/>
        <item x="13"/>
        <item x="5"/>
        <item x="14"/>
        <item x="19"/>
        <item x="25"/>
        <item x="3"/>
        <item x="26"/>
        <item x="22"/>
        <item x="4"/>
        <item x="2"/>
        <item x="6"/>
        <item x="0"/>
        <item x="24"/>
        <item x="20"/>
        <item x="11"/>
        <item x="12"/>
        <item x="28"/>
        <item x="16"/>
        <item x="9"/>
        <item x="30"/>
        <item t="default"/>
      </items>
    </pivotField>
    <pivotField showAll="0">
      <items count="11">
        <item x="8"/>
        <item x="6"/>
        <item x="4"/>
        <item x="1"/>
        <item x="5"/>
        <item x="2"/>
        <item x="0"/>
        <item x="3"/>
        <item x="7"/>
        <item x="9"/>
        <item t="default"/>
      </items>
    </pivotField>
    <pivotField showAll="0">
      <items count="14">
        <item x="7"/>
        <item x="1"/>
        <item x="5"/>
        <item x="2"/>
        <item x="11"/>
        <item x="9"/>
        <item x="4"/>
        <item x="6"/>
        <item x="0"/>
        <item x="10"/>
        <item x="3"/>
        <item x="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h="1" x="2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Количество из Created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Relationship Id="rId2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Relationship Id="rId2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8"/>
  <sheetViews>
    <sheetView topLeftCell="H1" workbookViewId="0">
      <selection activeCell="S26" sqref="A1:S26"/>
    </sheetView>
  </sheetViews>
  <sheetFormatPr baseColWidth="10" defaultRowHeight="14" x14ac:dyDescent="0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2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2">
      <c r="A2" t="s">
        <v>181</v>
      </c>
      <c r="B2" t="s">
        <v>39</v>
      </c>
      <c r="C2" s="1" t="s">
        <v>182</v>
      </c>
      <c r="D2" s="4" t="s">
        <v>40</v>
      </c>
      <c r="E2" s="2" t="s">
        <v>72</v>
      </c>
      <c r="F2" s="2" t="s">
        <v>183</v>
      </c>
      <c r="G2" s="3" t="s">
        <v>178</v>
      </c>
      <c r="H2" s="3" t="s">
        <v>179</v>
      </c>
      <c r="I2" s="3" t="s">
        <v>23</v>
      </c>
      <c r="J2" s="3" t="s">
        <v>180</v>
      </c>
      <c r="K2" s="3" t="s">
        <v>36</v>
      </c>
      <c r="L2" s="3" t="s">
        <v>49</v>
      </c>
      <c r="M2" s="3" t="s">
        <v>50</v>
      </c>
      <c r="N2" s="3" t="s">
        <v>23</v>
      </c>
      <c r="O2" s="3" t="s">
        <v>160</v>
      </c>
      <c r="P2" s="3" t="s">
        <v>36</v>
      </c>
      <c r="Q2" s="3" t="s">
        <v>38</v>
      </c>
      <c r="R2" s="3" t="s">
        <v>86</v>
      </c>
      <c r="S2" s="5" t="s">
        <v>184</v>
      </c>
      <c r="T2">
        <f t="shared" ref="T2:T26" ca="1" si="0">INT(RAND()*50)</f>
        <v>38</v>
      </c>
      <c r="U2" t="b">
        <f t="shared" ref="U2:U26" si="1">IF(H3=H2,)</f>
        <v>0</v>
      </c>
      <c r="V2">
        <f t="shared" ref="V2:V26" ca="1" si="2">INT(RAND()*25)</f>
        <v>19</v>
      </c>
    </row>
    <row r="3" spans="1:22">
      <c r="A3" t="s">
        <v>335</v>
      </c>
      <c r="B3" t="s">
        <v>46</v>
      </c>
      <c r="C3" s="1" t="s">
        <v>336</v>
      </c>
      <c r="D3" s="4" t="s">
        <v>47</v>
      </c>
      <c r="E3" s="2" t="s">
        <v>21</v>
      </c>
      <c r="F3" s="2" t="s">
        <v>337</v>
      </c>
      <c r="G3" s="3" t="s">
        <v>330</v>
      </c>
      <c r="H3" s="3" t="s">
        <v>331</v>
      </c>
      <c r="I3" s="3" t="s">
        <v>317</v>
      </c>
      <c r="J3" s="3" t="s">
        <v>332</v>
      </c>
      <c r="K3" s="3" t="s">
        <v>333</v>
      </c>
      <c r="L3" s="3" t="s">
        <v>97</v>
      </c>
      <c r="M3" s="3" t="s">
        <v>120</v>
      </c>
      <c r="N3" s="3" t="s">
        <v>23</v>
      </c>
      <c r="O3" s="3" t="s">
        <v>334</v>
      </c>
      <c r="P3" s="3" t="s">
        <v>193</v>
      </c>
      <c r="Q3" s="3" t="s">
        <v>54</v>
      </c>
      <c r="R3" s="3" t="s">
        <v>86</v>
      </c>
      <c r="S3" s="5" t="s">
        <v>338</v>
      </c>
      <c r="T3">
        <f t="shared" ca="1" si="0"/>
        <v>38</v>
      </c>
      <c r="U3" t="b">
        <f t="shared" si="1"/>
        <v>0</v>
      </c>
      <c r="V3">
        <f t="shared" ca="1" si="2"/>
        <v>5</v>
      </c>
    </row>
    <row r="4" spans="1:22">
      <c r="A4" t="s">
        <v>224</v>
      </c>
      <c r="B4" t="s">
        <v>39</v>
      </c>
      <c r="C4" s="1" t="s">
        <v>225</v>
      </c>
      <c r="D4" s="4" t="s">
        <v>40</v>
      </c>
      <c r="E4" s="2" t="s">
        <v>21</v>
      </c>
      <c r="F4" s="2" t="s">
        <v>143</v>
      </c>
      <c r="G4" s="3" t="s">
        <v>226</v>
      </c>
      <c r="H4" s="3" t="s">
        <v>227</v>
      </c>
      <c r="I4" s="3" t="s">
        <v>213</v>
      </c>
      <c r="J4" s="3" t="s">
        <v>228</v>
      </c>
      <c r="K4" s="3" t="s">
        <v>67</v>
      </c>
      <c r="L4" s="3" t="s">
        <v>49</v>
      </c>
      <c r="M4" s="3" t="s">
        <v>50</v>
      </c>
      <c r="N4" s="3" t="s">
        <v>23</v>
      </c>
      <c r="O4" s="3" t="s">
        <v>229</v>
      </c>
      <c r="P4" s="3" t="s">
        <v>67</v>
      </c>
      <c r="Q4" s="3" t="s">
        <v>54</v>
      </c>
      <c r="R4" s="3" t="s">
        <v>86</v>
      </c>
      <c r="S4" s="5" t="s">
        <v>230</v>
      </c>
      <c r="T4">
        <f t="shared" ca="1" si="0"/>
        <v>6</v>
      </c>
      <c r="U4" t="b">
        <f t="shared" si="1"/>
        <v>0</v>
      </c>
      <c r="V4">
        <f t="shared" ca="1" si="2"/>
        <v>22</v>
      </c>
    </row>
    <row r="5" spans="1:22">
      <c r="A5" t="s">
        <v>273</v>
      </c>
      <c r="B5" t="s">
        <v>39</v>
      </c>
      <c r="C5" s="1" t="s">
        <v>274</v>
      </c>
      <c r="D5" s="4" t="s">
        <v>40</v>
      </c>
      <c r="E5" s="2" t="s">
        <v>45</v>
      </c>
      <c r="F5" s="2" t="s">
        <v>275</v>
      </c>
      <c r="G5" s="3" t="s">
        <v>268</v>
      </c>
      <c r="H5" s="3" t="s">
        <v>269</v>
      </c>
      <c r="I5" s="3" t="s">
        <v>42</v>
      </c>
      <c r="J5" s="3" t="s">
        <v>270</v>
      </c>
      <c r="K5" s="3" t="s">
        <v>271</v>
      </c>
      <c r="L5" s="3" t="s">
        <v>49</v>
      </c>
      <c r="M5" s="3" t="s">
        <v>50</v>
      </c>
      <c r="N5" s="3" t="s">
        <v>23</v>
      </c>
      <c r="O5" s="3" t="s">
        <v>272</v>
      </c>
      <c r="P5" s="3" t="s">
        <v>36</v>
      </c>
      <c r="Q5" s="3" t="s">
        <v>54</v>
      </c>
      <c r="R5" s="3" t="s">
        <v>86</v>
      </c>
      <c r="S5" s="5" t="s">
        <v>276</v>
      </c>
      <c r="T5">
        <f t="shared" ca="1" si="0"/>
        <v>13</v>
      </c>
      <c r="U5" t="b">
        <f t="shared" si="1"/>
        <v>0</v>
      </c>
      <c r="V5">
        <f t="shared" ca="1" si="2"/>
        <v>11</v>
      </c>
    </row>
    <row r="6" spans="1:22">
      <c r="A6" t="s">
        <v>94</v>
      </c>
      <c r="B6" t="s">
        <v>19</v>
      </c>
      <c r="C6" s="1" t="s">
        <v>95</v>
      </c>
      <c r="D6" s="4" t="s">
        <v>20</v>
      </c>
      <c r="E6" s="2" t="s">
        <v>45</v>
      </c>
      <c r="F6" s="2" t="s">
        <v>170</v>
      </c>
      <c r="G6" s="3" t="s">
        <v>171</v>
      </c>
      <c r="H6" s="3" t="s">
        <v>172</v>
      </c>
      <c r="I6" s="3" t="s">
        <v>70</v>
      </c>
      <c r="J6" s="3" t="s">
        <v>173</v>
      </c>
      <c r="K6" s="3" t="s">
        <v>36</v>
      </c>
      <c r="L6" s="3" t="s">
        <v>97</v>
      </c>
      <c r="M6" s="3" t="s">
        <v>140</v>
      </c>
      <c r="N6" s="3" t="s">
        <v>162</v>
      </c>
      <c r="O6" s="3" t="s">
        <v>174</v>
      </c>
      <c r="P6" s="3" t="s">
        <v>36</v>
      </c>
      <c r="Q6" s="3" t="s">
        <v>54</v>
      </c>
      <c r="R6" s="3" t="s">
        <v>86</v>
      </c>
      <c r="S6" s="5" t="s">
        <v>175</v>
      </c>
      <c r="T6">
        <f t="shared" ca="1" si="0"/>
        <v>20</v>
      </c>
      <c r="U6" t="b">
        <f t="shared" si="1"/>
        <v>0</v>
      </c>
      <c r="V6">
        <f t="shared" ca="1" si="2"/>
        <v>19</v>
      </c>
    </row>
    <row r="7" spans="1:22">
      <c r="A7" t="s">
        <v>252</v>
      </c>
      <c r="B7" t="s">
        <v>19</v>
      </c>
      <c r="C7" s="1" t="s">
        <v>253</v>
      </c>
      <c r="D7" s="4" t="s">
        <v>20</v>
      </c>
      <c r="E7" s="2" t="s">
        <v>21</v>
      </c>
      <c r="F7" s="2" t="s">
        <v>254</v>
      </c>
      <c r="G7" s="3" t="s">
        <v>255</v>
      </c>
      <c r="H7" s="3" t="s">
        <v>202</v>
      </c>
      <c r="I7" s="3" t="s">
        <v>119</v>
      </c>
      <c r="J7" s="3" t="s">
        <v>256</v>
      </c>
      <c r="K7" s="3" t="s">
        <v>48</v>
      </c>
      <c r="L7" s="3" t="s">
        <v>147</v>
      </c>
      <c r="M7" s="3" t="s">
        <v>140</v>
      </c>
      <c r="N7" s="3" t="s">
        <v>257</v>
      </c>
      <c r="O7" s="3" t="s">
        <v>258</v>
      </c>
      <c r="P7" s="3" t="s">
        <v>48</v>
      </c>
      <c r="Q7" s="3" t="s">
        <v>54</v>
      </c>
      <c r="R7" s="3" t="s">
        <v>86</v>
      </c>
      <c r="S7" s="5" t="s">
        <v>259</v>
      </c>
      <c r="T7">
        <f t="shared" ca="1" si="0"/>
        <v>25</v>
      </c>
      <c r="U7" t="b">
        <f t="shared" si="1"/>
        <v>0</v>
      </c>
      <c r="V7">
        <f t="shared" ca="1" si="2"/>
        <v>14</v>
      </c>
    </row>
    <row r="8" spans="1:22">
      <c r="A8" t="s">
        <v>285</v>
      </c>
      <c r="B8" t="s">
        <v>52</v>
      </c>
      <c r="C8" s="1" t="s">
        <v>286</v>
      </c>
      <c r="D8" s="4" t="s">
        <v>53</v>
      </c>
      <c r="E8" s="2" t="s">
        <v>45</v>
      </c>
      <c r="F8" s="2" t="s">
        <v>287</v>
      </c>
      <c r="G8" s="3" t="s">
        <v>279</v>
      </c>
      <c r="H8" s="3" t="s">
        <v>280</v>
      </c>
      <c r="I8" s="3" t="s">
        <v>281</v>
      </c>
      <c r="J8" s="3" t="s">
        <v>282</v>
      </c>
      <c r="K8" s="3" t="s">
        <v>283</v>
      </c>
      <c r="L8" s="3" t="s">
        <v>97</v>
      </c>
      <c r="M8" s="3" t="s">
        <v>120</v>
      </c>
      <c r="N8" s="3" t="s">
        <v>23</v>
      </c>
      <c r="O8" s="3" t="s">
        <v>284</v>
      </c>
      <c r="P8" s="3" t="s">
        <v>36</v>
      </c>
      <c r="Q8" s="3" t="s">
        <v>54</v>
      </c>
      <c r="R8" s="3" t="s">
        <v>86</v>
      </c>
      <c r="S8" s="5" t="s">
        <v>288</v>
      </c>
      <c r="T8">
        <f t="shared" ca="1" si="0"/>
        <v>22</v>
      </c>
      <c r="U8" t="b">
        <f t="shared" si="1"/>
        <v>0</v>
      </c>
      <c r="V8">
        <f t="shared" ca="1" si="2"/>
        <v>16</v>
      </c>
    </row>
    <row r="9" spans="1:22">
      <c r="A9" t="s">
        <v>214</v>
      </c>
      <c r="B9" t="s">
        <v>46</v>
      </c>
      <c r="C9" s="1" t="s">
        <v>215</v>
      </c>
      <c r="D9" s="4" t="s">
        <v>47</v>
      </c>
      <c r="E9" s="2" t="s">
        <v>21</v>
      </c>
      <c r="F9" s="2" t="s">
        <v>216</v>
      </c>
      <c r="G9" s="3" t="s">
        <v>217</v>
      </c>
      <c r="H9" s="3" t="s">
        <v>218</v>
      </c>
      <c r="I9" s="3" t="s">
        <v>141</v>
      </c>
      <c r="J9" s="3" t="s">
        <v>219</v>
      </c>
      <c r="K9" s="3" t="s">
        <v>41</v>
      </c>
      <c r="L9" s="3" t="s">
        <v>97</v>
      </c>
      <c r="M9" s="3" t="s">
        <v>31</v>
      </c>
      <c r="N9" s="3" t="s">
        <v>43</v>
      </c>
      <c r="O9" s="3" t="s">
        <v>44</v>
      </c>
      <c r="P9" s="3" t="s">
        <v>41</v>
      </c>
      <c r="Q9" s="3" t="s">
        <v>38</v>
      </c>
      <c r="R9" s="3" t="s">
        <v>86</v>
      </c>
      <c r="S9" s="5" t="s">
        <v>220</v>
      </c>
      <c r="T9">
        <f t="shared" ca="1" si="0"/>
        <v>22</v>
      </c>
      <c r="U9" t="b">
        <f t="shared" si="1"/>
        <v>0</v>
      </c>
      <c r="V9">
        <f t="shared" ca="1" si="2"/>
        <v>9</v>
      </c>
    </row>
    <row r="10" spans="1:22">
      <c r="A10" t="s">
        <v>73</v>
      </c>
      <c r="B10" t="s">
        <v>39</v>
      </c>
      <c r="C10" s="1" t="s">
        <v>74</v>
      </c>
      <c r="D10" s="4" t="s">
        <v>40</v>
      </c>
      <c r="E10" s="2" t="s">
        <v>21</v>
      </c>
      <c r="F10" s="2" t="s">
        <v>75</v>
      </c>
      <c r="G10" s="3" t="s">
        <v>76</v>
      </c>
      <c r="H10" s="3" t="s">
        <v>68</v>
      </c>
      <c r="I10" s="3" t="s">
        <v>69</v>
      </c>
      <c r="J10" s="3" t="s">
        <v>77</v>
      </c>
      <c r="K10" s="3" t="s">
        <v>70</v>
      </c>
      <c r="L10" s="3" t="s">
        <v>49</v>
      </c>
      <c r="M10" s="3" t="s">
        <v>50</v>
      </c>
      <c r="N10" s="3" t="s">
        <v>23</v>
      </c>
      <c r="O10" s="3" t="s">
        <v>71</v>
      </c>
      <c r="P10" s="3" t="s">
        <v>64</v>
      </c>
      <c r="Q10" s="3" t="s">
        <v>54</v>
      </c>
      <c r="R10" s="3" t="s">
        <v>26</v>
      </c>
      <c r="S10" s="5" t="s">
        <v>78</v>
      </c>
      <c r="T10">
        <f t="shared" ca="1" si="0"/>
        <v>47</v>
      </c>
      <c r="U10" t="b">
        <f t="shared" si="1"/>
        <v>0</v>
      </c>
      <c r="V10">
        <f t="shared" ca="1" si="2"/>
        <v>17</v>
      </c>
    </row>
    <row r="11" spans="1:22">
      <c r="A11" t="s">
        <v>323</v>
      </c>
      <c r="B11" t="s">
        <v>46</v>
      </c>
      <c r="C11" s="1" t="s">
        <v>324</v>
      </c>
      <c r="D11" s="4" t="s">
        <v>47</v>
      </c>
      <c r="E11" s="2" t="s">
        <v>65</v>
      </c>
      <c r="F11" s="2" t="s">
        <v>325</v>
      </c>
      <c r="G11" s="3" t="s">
        <v>319</v>
      </c>
      <c r="H11" s="3" t="s">
        <v>320</v>
      </c>
      <c r="I11" s="3" t="s">
        <v>58</v>
      </c>
      <c r="J11" s="3" t="s">
        <v>321</v>
      </c>
      <c r="K11" s="3" t="s">
        <v>63</v>
      </c>
      <c r="L11" s="3" t="s">
        <v>49</v>
      </c>
      <c r="M11" s="3" t="s">
        <v>61</v>
      </c>
      <c r="N11" s="3" t="s">
        <v>23</v>
      </c>
      <c r="O11" s="3" t="s">
        <v>322</v>
      </c>
      <c r="P11" s="3" t="s">
        <v>62</v>
      </c>
      <c r="Q11" s="3" t="s">
        <v>54</v>
      </c>
      <c r="R11" s="3" t="s">
        <v>86</v>
      </c>
      <c r="S11" s="5" t="s">
        <v>326</v>
      </c>
      <c r="T11">
        <f t="shared" ca="1" si="0"/>
        <v>29</v>
      </c>
      <c r="U11" t="b">
        <f t="shared" si="1"/>
        <v>0</v>
      </c>
      <c r="V11">
        <f t="shared" ca="1" si="2"/>
        <v>10</v>
      </c>
    </row>
    <row r="12" spans="1:22">
      <c r="A12" t="s">
        <v>87</v>
      </c>
      <c r="B12" t="s">
        <v>39</v>
      </c>
      <c r="C12" s="1" t="s">
        <v>88</v>
      </c>
      <c r="D12" s="4" t="s">
        <v>40</v>
      </c>
      <c r="E12" s="2" t="s">
        <v>60</v>
      </c>
      <c r="F12" s="2" t="s">
        <v>23</v>
      </c>
      <c r="G12" s="3" t="s">
        <v>81</v>
      </c>
      <c r="H12" s="3" t="s">
        <v>82</v>
      </c>
      <c r="I12" s="3" t="s">
        <v>23</v>
      </c>
      <c r="J12" s="3" t="s">
        <v>83</v>
      </c>
      <c r="K12" s="3" t="s">
        <v>84</v>
      </c>
      <c r="L12" s="3" t="s">
        <v>49</v>
      </c>
      <c r="M12" s="3" t="s">
        <v>50</v>
      </c>
      <c r="N12" s="3" t="s">
        <v>23</v>
      </c>
      <c r="O12" s="3" t="s">
        <v>85</v>
      </c>
      <c r="P12" s="3" t="s">
        <v>84</v>
      </c>
      <c r="Q12" s="3" t="s">
        <v>54</v>
      </c>
      <c r="R12" s="3" t="s">
        <v>86</v>
      </c>
      <c r="S12" s="5" t="s">
        <v>89</v>
      </c>
      <c r="T12">
        <f t="shared" ca="1" si="0"/>
        <v>7</v>
      </c>
      <c r="U12" t="b">
        <f t="shared" si="1"/>
        <v>0</v>
      </c>
      <c r="V12">
        <f t="shared" ca="1" si="2"/>
        <v>24</v>
      </c>
    </row>
    <row r="13" spans="1:22">
      <c r="A13" t="s">
        <v>358</v>
      </c>
      <c r="B13" t="s">
        <v>113</v>
      </c>
      <c r="C13" s="1" t="s">
        <v>359</v>
      </c>
      <c r="D13" s="4" t="s">
        <v>114</v>
      </c>
      <c r="E13" s="2" t="s">
        <v>21</v>
      </c>
      <c r="F13" s="2" t="s">
        <v>360</v>
      </c>
      <c r="G13" s="3" t="s">
        <v>361</v>
      </c>
      <c r="H13" s="3" t="s">
        <v>362</v>
      </c>
      <c r="I13" s="3" t="s">
        <v>354</v>
      </c>
      <c r="J13" s="3" t="s">
        <v>363</v>
      </c>
      <c r="K13" s="3" t="s">
        <v>223</v>
      </c>
      <c r="L13" s="3" t="s">
        <v>364</v>
      </c>
      <c r="M13" s="3" t="s">
        <v>50</v>
      </c>
      <c r="N13" s="3" t="s">
        <v>23</v>
      </c>
      <c r="O13" s="3" t="s">
        <v>365</v>
      </c>
      <c r="P13" s="3" t="s">
        <v>29</v>
      </c>
      <c r="Q13" s="3" t="s">
        <v>54</v>
      </c>
      <c r="R13" s="3" t="s">
        <v>86</v>
      </c>
      <c r="S13" s="5" t="s">
        <v>366</v>
      </c>
      <c r="T13">
        <f t="shared" ca="1" si="0"/>
        <v>4</v>
      </c>
      <c r="U13" t="b">
        <f t="shared" si="1"/>
        <v>0</v>
      </c>
      <c r="V13">
        <f t="shared" ca="1" si="2"/>
        <v>7</v>
      </c>
    </row>
    <row r="14" spans="1:22">
      <c r="A14" t="s">
        <v>131</v>
      </c>
      <c r="B14" t="s">
        <v>19</v>
      </c>
      <c r="C14" s="1" t="s">
        <v>132</v>
      </c>
      <c r="D14" s="4" t="s">
        <v>20</v>
      </c>
      <c r="E14" s="2" t="s">
        <v>21</v>
      </c>
      <c r="F14" s="2" t="s">
        <v>133</v>
      </c>
      <c r="G14" s="3" t="s">
        <v>134</v>
      </c>
      <c r="H14" s="3" t="s">
        <v>135</v>
      </c>
      <c r="I14" s="3" t="s">
        <v>23</v>
      </c>
      <c r="J14" s="3" t="s">
        <v>136</v>
      </c>
      <c r="K14" s="3" t="s">
        <v>137</v>
      </c>
      <c r="L14" s="3" t="s">
        <v>138</v>
      </c>
      <c r="M14" s="3" t="s">
        <v>31</v>
      </c>
      <c r="N14" s="3" t="s">
        <v>91</v>
      </c>
      <c r="O14" s="3" t="s">
        <v>115</v>
      </c>
      <c r="P14" s="3" t="s">
        <v>137</v>
      </c>
      <c r="Q14" s="3" t="s">
        <v>38</v>
      </c>
      <c r="R14" s="3" t="s">
        <v>86</v>
      </c>
      <c r="S14" s="5" t="s">
        <v>139</v>
      </c>
      <c r="T14">
        <f t="shared" ca="1" si="0"/>
        <v>48</v>
      </c>
      <c r="U14" t="b">
        <f t="shared" si="1"/>
        <v>0</v>
      </c>
      <c r="V14">
        <f t="shared" ca="1" si="2"/>
        <v>23</v>
      </c>
    </row>
    <row r="15" spans="1:22">
      <c r="A15" t="s">
        <v>123</v>
      </c>
      <c r="B15" t="s">
        <v>19</v>
      </c>
      <c r="C15" s="1" t="s">
        <v>124</v>
      </c>
      <c r="D15" s="4" t="s">
        <v>20</v>
      </c>
      <c r="E15" s="2" t="s">
        <v>21</v>
      </c>
      <c r="F15" s="2" t="s">
        <v>125</v>
      </c>
      <c r="G15" s="3" t="s">
        <v>126</v>
      </c>
      <c r="H15" s="3" t="s">
        <v>127</v>
      </c>
      <c r="I15" s="3" t="s">
        <v>42</v>
      </c>
      <c r="J15" s="3" t="s">
        <v>128</v>
      </c>
      <c r="K15" s="3" t="s">
        <v>111</v>
      </c>
      <c r="L15" s="3" t="s">
        <v>49</v>
      </c>
      <c r="M15" s="3" t="s">
        <v>50</v>
      </c>
      <c r="N15" s="3" t="s">
        <v>23</v>
      </c>
      <c r="O15" s="3" t="s">
        <v>129</v>
      </c>
      <c r="P15" s="3" t="s">
        <v>111</v>
      </c>
      <c r="Q15" s="3" t="s">
        <v>54</v>
      </c>
      <c r="R15" s="3" t="s">
        <v>86</v>
      </c>
      <c r="S15" s="5" t="s">
        <v>130</v>
      </c>
      <c r="T15">
        <f t="shared" ca="1" si="0"/>
        <v>21</v>
      </c>
      <c r="U15" t="b">
        <f t="shared" si="1"/>
        <v>0</v>
      </c>
      <c r="V15">
        <f t="shared" ca="1" si="2"/>
        <v>15</v>
      </c>
    </row>
    <row r="16" spans="1:22">
      <c r="A16" t="s">
        <v>308</v>
      </c>
      <c r="B16" t="s">
        <v>39</v>
      </c>
      <c r="C16" s="1" t="s">
        <v>309</v>
      </c>
      <c r="D16" s="4" t="s">
        <v>40</v>
      </c>
      <c r="E16" s="2" t="s">
        <v>21</v>
      </c>
      <c r="F16" s="2" t="s">
        <v>310</v>
      </c>
      <c r="G16" s="3" t="s">
        <v>311</v>
      </c>
      <c r="H16" s="3" t="s">
        <v>23</v>
      </c>
      <c r="I16" s="3" t="s">
        <v>23</v>
      </c>
      <c r="J16" s="3" t="s">
        <v>312</v>
      </c>
      <c r="K16" s="3" t="s">
        <v>307</v>
      </c>
      <c r="L16" s="3" t="s">
        <v>49</v>
      </c>
      <c r="M16" s="3" t="s">
        <v>191</v>
      </c>
      <c r="N16" s="3" t="s">
        <v>23</v>
      </c>
      <c r="O16" s="3" t="s">
        <v>313</v>
      </c>
      <c r="P16" s="3" t="s">
        <v>307</v>
      </c>
      <c r="Q16" s="3" t="s">
        <v>38</v>
      </c>
      <c r="R16" s="3" t="s">
        <v>86</v>
      </c>
      <c r="S16" s="5" t="s">
        <v>314</v>
      </c>
      <c r="T16">
        <f t="shared" ca="1" si="0"/>
        <v>0</v>
      </c>
      <c r="U16" t="b">
        <f t="shared" si="1"/>
        <v>0</v>
      </c>
      <c r="V16">
        <f t="shared" ca="1" si="2"/>
        <v>10</v>
      </c>
    </row>
    <row r="17" spans="1:22">
      <c r="A17" t="s">
        <v>204</v>
      </c>
      <c r="B17" t="s">
        <v>39</v>
      </c>
      <c r="C17" s="1" t="s">
        <v>205</v>
      </c>
      <c r="D17" s="4" t="s">
        <v>40</v>
      </c>
      <c r="E17" s="2" t="s">
        <v>21</v>
      </c>
      <c r="F17" s="2" t="s">
        <v>206</v>
      </c>
      <c r="G17" s="3" t="s">
        <v>207</v>
      </c>
      <c r="H17" s="3" t="s">
        <v>208</v>
      </c>
      <c r="I17" s="3" t="s">
        <v>93</v>
      </c>
      <c r="J17" s="3" t="s">
        <v>209</v>
      </c>
      <c r="K17" s="3" t="s">
        <v>41</v>
      </c>
      <c r="L17" s="3" t="s">
        <v>49</v>
      </c>
      <c r="M17" s="3" t="s">
        <v>50</v>
      </c>
      <c r="N17" s="3" t="s">
        <v>23</v>
      </c>
      <c r="O17" s="3" t="s">
        <v>210</v>
      </c>
      <c r="P17" s="3" t="s">
        <v>41</v>
      </c>
      <c r="Q17" s="3" t="s">
        <v>54</v>
      </c>
      <c r="R17" s="3" t="s">
        <v>86</v>
      </c>
      <c r="S17" s="5" t="s">
        <v>211</v>
      </c>
      <c r="T17">
        <f t="shared" ca="1" si="0"/>
        <v>25</v>
      </c>
      <c r="U17" t="b">
        <f t="shared" si="1"/>
        <v>0</v>
      </c>
      <c r="V17">
        <f t="shared" ca="1" si="2"/>
        <v>19</v>
      </c>
    </row>
    <row r="18" spans="1:22">
      <c r="A18" t="s">
        <v>297</v>
      </c>
      <c r="B18" t="s">
        <v>27</v>
      </c>
      <c r="C18" s="1" t="s">
        <v>298</v>
      </c>
      <c r="D18" s="4" t="s">
        <v>28</v>
      </c>
      <c r="E18" s="2" t="s">
        <v>21</v>
      </c>
      <c r="F18" s="2" t="s">
        <v>299</v>
      </c>
      <c r="G18" s="3" t="s">
        <v>300</v>
      </c>
      <c r="H18" s="3" t="s">
        <v>301</v>
      </c>
      <c r="I18" s="3" t="s">
        <v>55</v>
      </c>
      <c r="J18" s="3" t="s">
        <v>302</v>
      </c>
      <c r="K18" s="3" t="s">
        <v>59</v>
      </c>
      <c r="L18" s="3" t="s">
        <v>49</v>
      </c>
      <c r="M18" s="3" t="s">
        <v>61</v>
      </c>
      <c r="N18" s="3" t="s">
        <v>23</v>
      </c>
      <c r="O18" s="3" t="s">
        <v>303</v>
      </c>
      <c r="P18" s="3" t="s">
        <v>59</v>
      </c>
      <c r="Q18" s="3" t="s">
        <v>54</v>
      </c>
      <c r="R18" s="3" t="s">
        <v>86</v>
      </c>
      <c r="S18" s="5" t="s">
        <v>304</v>
      </c>
      <c r="T18">
        <f t="shared" ca="1" si="0"/>
        <v>29</v>
      </c>
      <c r="U18" t="b">
        <f t="shared" si="1"/>
        <v>0</v>
      </c>
      <c r="V18">
        <f t="shared" ca="1" si="2"/>
        <v>0</v>
      </c>
    </row>
    <row r="19" spans="1:22">
      <c r="A19" t="s">
        <v>341</v>
      </c>
      <c r="B19" t="s">
        <v>39</v>
      </c>
      <c r="C19" s="1" t="s">
        <v>342</v>
      </c>
      <c r="D19" s="4" t="s">
        <v>40</v>
      </c>
      <c r="E19" s="2" t="s">
        <v>65</v>
      </c>
      <c r="F19" s="2" t="s">
        <v>23</v>
      </c>
      <c r="G19" s="3" t="s">
        <v>343</v>
      </c>
      <c r="H19" s="3" t="s">
        <v>344</v>
      </c>
      <c r="I19" s="3" t="s">
        <v>339</v>
      </c>
      <c r="J19" s="3" t="s">
        <v>345</v>
      </c>
      <c r="K19" s="3" t="s">
        <v>66</v>
      </c>
      <c r="L19" s="3" t="s">
        <v>49</v>
      </c>
      <c r="M19" s="3" t="s">
        <v>37</v>
      </c>
      <c r="N19" s="3" t="s">
        <v>23</v>
      </c>
      <c r="O19" s="3" t="s">
        <v>23</v>
      </c>
      <c r="P19" s="3" t="s">
        <v>23</v>
      </c>
      <c r="Q19" s="3" t="s">
        <v>54</v>
      </c>
      <c r="R19" s="3" t="s">
        <v>86</v>
      </c>
      <c r="S19" s="5" t="s">
        <v>346</v>
      </c>
      <c r="T19">
        <f t="shared" ca="1" si="0"/>
        <v>32</v>
      </c>
      <c r="U19" t="b">
        <f t="shared" si="1"/>
        <v>0</v>
      </c>
      <c r="V19">
        <f t="shared" ca="1" si="2"/>
        <v>3</v>
      </c>
    </row>
    <row r="20" spans="1:22">
      <c r="A20" t="s">
        <v>101</v>
      </c>
      <c r="B20" t="s">
        <v>46</v>
      </c>
      <c r="C20" s="1" t="s">
        <v>102</v>
      </c>
      <c r="D20" s="4" t="s">
        <v>47</v>
      </c>
      <c r="E20" s="2" t="s">
        <v>21</v>
      </c>
      <c r="F20" s="2" t="s">
        <v>103</v>
      </c>
      <c r="G20" s="3" t="s">
        <v>104</v>
      </c>
      <c r="H20" s="3" t="s">
        <v>105</v>
      </c>
      <c r="I20" s="3" t="s">
        <v>23</v>
      </c>
      <c r="J20" s="3" t="s">
        <v>106</v>
      </c>
      <c r="K20" s="3" t="s">
        <v>107</v>
      </c>
      <c r="L20" s="3" t="s">
        <v>49</v>
      </c>
      <c r="M20" s="3" t="s">
        <v>61</v>
      </c>
      <c r="N20" s="3" t="s">
        <v>23</v>
      </c>
      <c r="O20" s="3" t="s">
        <v>108</v>
      </c>
      <c r="P20" s="3" t="s">
        <v>107</v>
      </c>
      <c r="Q20" s="3" t="s">
        <v>38</v>
      </c>
      <c r="R20" s="3" t="s">
        <v>86</v>
      </c>
      <c r="S20" s="5" t="s">
        <v>109</v>
      </c>
      <c r="T20">
        <f t="shared" ca="1" si="0"/>
        <v>37</v>
      </c>
      <c r="U20" t="b">
        <f t="shared" si="1"/>
        <v>0</v>
      </c>
      <c r="V20">
        <f t="shared" ca="1" si="2"/>
        <v>0</v>
      </c>
    </row>
    <row r="21" spans="1:22">
      <c r="A21" t="s">
        <v>195</v>
      </c>
      <c r="B21" t="s">
        <v>19</v>
      </c>
      <c r="C21" s="1" t="s">
        <v>196</v>
      </c>
      <c r="D21" s="4" t="s">
        <v>20</v>
      </c>
      <c r="E21" s="2" t="s">
        <v>60</v>
      </c>
      <c r="F21" s="2" t="s">
        <v>23</v>
      </c>
      <c r="G21" s="3" t="s">
        <v>197</v>
      </c>
      <c r="H21" s="3" t="s">
        <v>198</v>
      </c>
      <c r="I21" s="3" t="s">
        <v>188</v>
      </c>
      <c r="J21" s="3" t="s">
        <v>199</v>
      </c>
      <c r="K21" s="3" t="s">
        <v>36</v>
      </c>
      <c r="L21" s="3" t="s">
        <v>49</v>
      </c>
      <c r="M21" s="3" t="s">
        <v>50</v>
      </c>
      <c r="N21" s="3" t="s">
        <v>23</v>
      </c>
      <c r="O21" s="3" t="s">
        <v>160</v>
      </c>
      <c r="P21" s="3" t="s">
        <v>36</v>
      </c>
      <c r="Q21" s="3" t="s">
        <v>38</v>
      </c>
      <c r="R21" s="3" t="s">
        <v>86</v>
      </c>
      <c r="S21" s="5" t="s">
        <v>200</v>
      </c>
      <c r="T21">
        <f t="shared" ca="1" si="0"/>
        <v>42</v>
      </c>
      <c r="U21" t="b">
        <f t="shared" si="1"/>
        <v>0</v>
      </c>
      <c r="V21">
        <f t="shared" ca="1" si="2"/>
        <v>13</v>
      </c>
    </row>
    <row r="22" spans="1:22">
      <c r="A22" t="s">
        <v>234</v>
      </c>
      <c r="B22" t="s">
        <v>52</v>
      </c>
      <c r="C22" s="1" t="s">
        <v>235</v>
      </c>
      <c r="D22" s="4" t="s">
        <v>53</v>
      </c>
      <c r="E22" s="2" t="s">
        <v>21</v>
      </c>
      <c r="F22" s="2" t="s">
        <v>236</v>
      </c>
      <c r="G22" s="3" t="s">
        <v>237</v>
      </c>
      <c r="H22" s="3" t="s">
        <v>238</v>
      </c>
      <c r="I22" s="3" t="s">
        <v>23</v>
      </c>
      <c r="J22" s="3" t="s">
        <v>239</v>
      </c>
      <c r="K22" s="3" t="s">
        <v>67</v>
      </c>
      <c r="L22" s="3" t="s">
        <v>30</v>
      </c>
      <c r="M22" s="3" t="s">
        <v>31</v>
      </c>
      <c r="N22" s="3" t="s">
        <v>118</v>
      </c>
      <c r="O22" s="3" t="s">
        <v>117</v>
      </c>
      <c r="P22" s="3" t="s">
        <v>67</v>
      </c>
      <c r="Q22" s="3" t="s">
        <v>38</v>
      </c>
      <c r="R22" s="3" t="s">
        <v>86</v>
      </c>
      <c r="S22" s="5" t="s">
        <v>240</v>
      </c>
      <c r="T22">
        <f t="shared" ca="1" si="0"/>
        <v>39</v>
      </c>
      <c r="U22" t="b">
        <f t="shared" si="1"/>
        <v>0</v>
      </c>
      <c r="V22">
        <f t="shared" ca="1" si="2"/>
        <v>20</v>
      </c>
    </row>
    <row r="23" spans="1:22">
      <c r="A23" t="s">
        <v>368</v>
      </c>
      <c r="B23" t="s">
        <v>46</v>
      </c>
      <c r="C23" s="1" t="s">
        <v>369</v>
      </c>
      <c r="D23" s="4" t="s">
        <v>47</v>
      </c>
      <c r="E23" s="2" t="s">
        <v>45</v>
      </c>
      <c r="F23" s="2" t="s">
        <v>370</v>
      </c>
      <c r="G23" s="3" t="s">
        <v>371</v>
      </c>
      <c r="H23" s="3" t="s">
        <v>356</v>
      </c>
      <c r="I23" s="3" t="s">
        <v>329</v>
      </c>
      <c r="J23" s="3" t="s">
        <v>372</v>
      </c>
      <c r="K23" s="3" t="s">
        <v>141</v>
      </c>
      <c r="L23" s="3" t="s">
        <v>357</v>
      </c>
      <c r="M23" s="3" t="s">
        <v>194</v>
      </c>
      <c r="N23" s="3" t="s">
        <v>151</v>
      </c>
      <c r="O23" s="3" t="s">
        <v>142</v>
      </c>
      <c r="P23" s="3" t="s">
        <v>59</v>
      </c>
      <c r="Q23" s="3" t="s">
        <v>38</v>
      </c>
      <c r="R23" s="3" t="s">
        <v>86</v>
      </c>
      <c r="S23" s="5" t="s">
        <v>373</v>
      </c>
      <c r="T23">
        <f t="shared" ca="1" si="0"/>
        <v>12</v>
      </c>
      <c r="U23" t="b">
        <f t="shared" si="1"/>
        <v>0</v>
      </c>
      <c r="V23">
        <f t="shared" ca="1" si="2"/>
        <v>24</v>
      </c>
    </row>
    <row r="24" spans="1:22">
      <c r="A24" t="s">
        <v>381</v>
      </c>
      <c r="B24" t="s">
        <v>39</v>
      </c>
      <c r="C24" s="1" t="s">
        <v>382</v>
      </c>
      <c r="D24" s="4" t="s">
        <v>40</v>
      </c>
      <c r="E24" s="2" t="s">
        <v>60</v>
      </c>
      <c r="F24" s="2" t="s">
        <v>23</v>
      </c>
      <c r="G24" s="3" t="s">
        <v>379</v>
      </c>
      <c r="H24" s="3" t="s">
        <v>376</v>
      </c>
      <c r="I24" s="3" t="s">
        <v>329</v>
      </c>
      <c r="J24" s="3" t="s">
        <v>380</v>
      </c>
      <c r="K24" s="3" t="s">
        <v>377</v>
      </c>
      <c r="L24" s="3" t="s">
        <v>49</v>
      </c>
      <c r="M24" s="3" t="s">
        <v>50</v>
      </c>
      <c r="N24" s="3" t="s">
        <v>23</v>
      </c>
      <c r="O24" s="3" t="s">
        <v>378</v>
      </c>
      <c r="P24" s="3" t="s">
        <v>121</v>
      </c>
      <c r="Q24" s="3" t="s">
        <v>54</v>
      </c>
      <c r="R24" s="3" t="s">
        <v>86</v>
      </c>
      <c r="S24" s="5" t="s">
        <v>383</v>
      </c>
      <c r="T24">
        <f t="shared" ca="1" si="0"/>
        <v>3</v>
      </c>
      <c r="U24" t="b">
        <f t="shared" si="1"/>
        <v>0</v>
      </c>
      <c r="V24">
        <f t="shared" ca="1" si="2"/>
        <v>12</v>
      </c>
    </row>
    <row r="25" spans="1:22">
      <c r="A25" t="s">
        <v>241</v>
      </c>
      <c r="B25" t="s">
        <v>79</v>
      </c>
      <c r="C25" s="1" t="s">
        <v>242</v>
      </c>
      <c r="D25" s="4" t="s">
        <v>80</v>
      </c>
      <c r="E25" s="2" t="s">
        <v>21</v>
      </c>
      <c r="F25" s="2" t="s">
        <v>243</v>
      </c>
      <c r="G25" s="3" t="s">
        <v>244</v>
      </c>
      <c r="H25" s="3" t="s">
        <v>245</v>
      </c>
      <c r="I25" s="3" t="s">
        <v>119</v>
      </c>
      <c r="J25" s="3" t="s">
        <v>246</v>
      </c>
      <c r="K25" s="3" t="s">
        <v>231</v>
      </c>
      <c r="L25" s="3" t="s">
        <v>49</v>
      </c>
      <c r="M25" s="3" t="s">
        <v>37</v>
      </c>
      <c r="N25" s="3" t="s">
        <v>23</v>
      </c>
      <c r="O25" s="3" t="s">
        <v>247</v>
      </c>
      <c r="P25" s="3" t="s">
        <v>67</v>
      </c>
      <c r="Q25" s="3" t="s">
        <v>54</v>
      </c>
      <c r="R25" s="3" t="s">
        <v>86</v>
      </c>
      <c r="S25" s="5" t="s">
        <v>248</v>
      </c>
      <c r="T25">
        <f t="shared" ca="1" si="0"/>
        <v>49</v>
      </c>
      <c r="U25" t="b">
        <f t="shared" si="1"/>
        <v>0</v>
      </c>
      <c r="V25">
        <f t="shared" ca="1" si="2"/>
        <v>22</v>
      </c>
    </row>
    <row r="26" spans="1:22">
      <c r="A26" t="s">
        <v>292</v>
      </c>
      <c r="B26" t="s">
        <v>39</v>
      </c>
      <c r="C26" s="1" t="s">
        <v>293</v>
      </c>
      <c r="D26" s="4" t="s">
        <v>40</v>
      </c>
      <c r="E26" s="2" t="s">
        <v>21</v>
      </c>
      <c r="F26" s="2" t="s">
        <v>294</v>
      </c>
      <c r="G26" s="3" t="s">
        <v>289</v>
      </c>
      <c r="H26" s="3" t="s">
        <v>57</v>
      </c>
      <c r="I26" s="3" t="s">
        <v>58</v>
      </c>
      <c r="J26" s="3" t="s">
        <v>290</v>
      </c>
      <c r="K26" s="3" t="s">
        <v>59</v>
      </c>
      <c r="L26" s="3" t="s">
        <v>49</v>
      </c>
      <c r="M26" s="3" t="s">
        <v>50</v>
      </c>
      <c r="N26" s="3" t="s">
        <v>23</v>
      </c>
      <c r="O26" s="3" t="s">
        <v>291</v>
      </c>
      <c r="P26" s="3" t="s">
        <v>59</v>
      </c>
      <c r="Q26" s="3" t="s">
        <v>54</v>
      </c>
      <c r="R26" s="3" t="s">
        <v>86</v>
      </c>
      <c r="S26" s="5" t="s">
        <v>295</v>
      </c>
      <c r="T26">
        <f t="shared" ca="1" si="0"/>
        <v>35</v>
      </c>
      <c r="U26" t="b">
        <f t="shared" si="1"/>
        <v>0</v>
      </c>
      <c r="V26">
        <f t="shared" ca="1" si="2"/>
        <v>17</v>
      </c>
    </row>
    <row r="27" spans="1:22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22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22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22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2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22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3:19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3:19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3:19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3:19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3:19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3:19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3:19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3:19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3:19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3:19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3:19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3:19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3:19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3:19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3:19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3:19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6"/>
  <sheetViews>
    <sheetView topLeftCell="H1" workbookViewId="0">
      <selection activeCell="S26" sqref="A2:S26"/>
    </sheetView>
  </sheetViews>
  <sheetFormatPr baseColWidth="10" defaultRowHeight="14" x14ac:dyDescent="0"/>
  <cols>
    <col min="1" max="2" width="1.1640625" bestFit="1" customWidth="1"/>
    <col min="3" max="3" width="50" style="1" bestFit="1" customWidth="1"/>
    <col min="4" max="4" width="12.5" style="2" bestFit="1" customWidth="1"/>
    <col min="5" max="5" width="2.5" style="2" bestFit="1" customWidth="1"/>
    <col min="6" max="6" width="50" style="2" bestFit="1" customWidth="1"/>
    <col min="7" max="7" width="50" style="3" bestFit="1" customWidth="1"/>
    <col min="8" max="8" width="12.5" style="3" bestFit="1" customWidth="1"/>
    <col min="9" max="18" width="8.33203125" style="3" bestFit="1" customWidth="1"/>
    <col min="19" max="19" width="10.83203125" style="3"/>
  </cols>
  <sheetData>
    <row r="1" spans="1:22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</row>
    <row r="2" spans="1:22">
      <c r="A2" t="s">
        <v>441</v>
      </c>
      <c r="B2" t="s">
        <v>399</v>
      </c>
      <c r="C2" s="1" t="s">
        <v>442</v>
      </c>
      <c r="D2" s="4" t="s">
        <v>400</v>
      </c>
      <c r="E2" s="2" t="s">
        <v>60</v>
      </c>
      <c r="F2" s="2" t="s">
        <v>443</v>
      </c>
      <c r="G2" s="3" t="s">
        <v>155</v>
      </c>
      <c r="H2" s="3" t="s">
        <v>23</v>
      </c>
      <c r="I2" s="3" t="s">
        <v>23</v>
      </c>
      <c r="J2" s="3" t="s">
        <v>156</v>
      </c>
      <c r="K2" s="3" t="s">
        <v>146</v>
      </c>
      <c r="L2" s="3" t="s">
        <v>24</v>
      </c>
      <c r="M2" s="3" t="s">
        <v>96</v>
      </c>
      <c r="N2" s="3" t="s">
        <v>151</v>
      </c>
      <c r="O2" s="3" t="s">
        <v>152</v>
      </c>
      <c r="P2" s="3" t="s">
        <v>144</v>
      </c>
      <c r="Q2" s="3" t="s">
        <v>25</v>
      </c>
      <c r="R2" s="3" t="s">
        <v>86</v>
      </c>
      <c r="S2" s="5" t="s">
        <v>444</v>
      </c>
      <c r="T2">
        <f t="shared" ref="T2:T26" ca="1" si="0">INT(RAND()*50)</f>
        <v>36</v>
      </c>
      <c r="U2" t="b">
        <f t="shared" ref="U2:U26" si="1">IF(H3=H2,)</f>
        <v>0</v>
      </c>
      <c r="V2">
        <f t="shared" ref="V2:V26" ca="1" si="2">INT(RAND()*25)</f>
        <v>1</v>
      </c>
    </row>
    <row r="3" spans="1:22">
      <c r="A3" t="s">
        <v>504</v>
      </c>
      <c r="B3" t="s">
        <v>386</v>
      </c>
      <c r="C3" s="1" t="s">
        <v>505</v>
      </c>
      <c r="D3" s="4" t="s">
        <v>387</v>
      </c>
      <c r="E3" s="2" t="s">
        <v>65</v>
      </c>
      <c r="F3" s="2" t="s">
        <v>506</v>
      </c>
      <c r="G3" s="3" t="s">
        <v>507</v>
      </c>
      <c r="H3" s="3" t="s">
        <v>402</v>
      </c>
      <c r="I3" s="3" t="s">
        <v>296</v>
      </c>
      <c r="J3" s="3" t="s">
        <v>508</v>
      </c>
      <c r="K3" s="3" t="s">
        <v>48</v>
      </c>
      <c r="L3" s="3" t="s">
        <v>49</v>
      </c>
      <c r="M3" s="3" t="s">
        <v>61</v>
      </c>
      <c r="N3" s="3" t="s">
        <v>23</v>
      </c>
      <c r="O3" s="3" t="s">
        <v>51</v>
      </c>
      <c r="P3" s="3" t="s">
        <v>48</v>
      </c>
      <c r="Q3" s="3" t="s">
        <v>38</v>
      </c>
      <c r="R3" s="3" t="s">
        <v>86</v>
      </c>
      <c r="S3" s="5" t="s">
        <v>509</v>
      </c>
      <c r="T3">
        <f t="shared" ca="1" si="0"/>
        <v>36</v>
      </c>
      <c r="U3" t="b">
        <f t="shared" si="1"/>
        <v>0</v>
      </c>
      <c r="V3">
        <f t="shared" ca="1" si="2"/>
        <v>20</v>
      </c>
    </row>
    <row r="4" spans="1:22">
      <c r="A4" t="s">
        <v>475</v>
      </c>
      <c r="B4" t="s">
        <v>384</v>
      </c>
      <c r="C4" s="1" t="s">
        <v>476</v>
      </c>
      <c r="D4" s="4" t="s">
        <v>385</v>
      </c>
      <c r="E4" s="2" t="s">
        <v>21</v>
      </c>
      <c r="F4" s="2" t="s">
        <v>477</v>
      </c>
      <c r="G4" s="3" t="s">
        <v>478</v>
      </c>
      <c r="H4" s="3" t="s">
        <v>479</v>
      </c>
      <c r="I4" s="3" t="s">
        <v>23</v>
      </c>
      <c r="J4" s="3" t="s">
        <v>480</v>
      </c>
      <c r="K4" s="3" t="s">
        <v>41</v>
      </c>
      <c r="L4" s="3" t="s">
        <v>97</v>
      </c>
      <c r="M4" s="3" t="s">
        <v>31</v>
      </c>
      <c r="N4" s="3" t="s">
        <v>161</v>
      </c>
      <c r="O4" s="3" t="s">
        <v>33</v>
      </c>
      <c r="P4" s="3" t="s">
        <v>481</v>
      </c>
      <c r="Q4" s="3" t="s">
        <v>34</v>
      </c>
      <c r="R4" s="3" t="s">
        <v>86</v>
      </c>
      <c r="S4" s="5" t="s">
        <v>482</v>
      </c>
      <c r="T4">
        <f t="shared" ca="1" si="0"/>
        <v>42</v>
      </c>
      <c r="U4" t="b">
        <f t="shared" si="1"/>
        <v>0</v>
      </c>
      <c r="V4">
        <f t="shared" ca="1" si="2"/>
        <v>16</v>
      </c>
    </row>
    <row r="5" spans="1:22">
      <c r="A5" t="s">
        <v>564</v>
      </c>
      <c r="B5" t="s">
        <v>399</v>
      </c>
      <c r="C5" s="1" t="s">
        <v>565</v>
      </c>
      <c r="D5" s="4" t="s">
        <v>400</v>
      </c>
      <c r="E5" s="2" t="s">
        <v>21</v>
      </c>
      <c r="F5" s="2" t="s">
        <v>566</v>
      </c>
      <c r="G5" s="3" t="s">
        <v>349</v>
      </c>
      <c r="H5" s="3" t="s">
        <v>350</v>
      </c>
      <c r="I5" s="3" t="s">
        <v>305</v>
      </c>
      <c r="J5" s="3" t="s">
        <v>351</v>
      </c>
      <c r="K5" s="3" t="s">
        <v>352</v>
      </c>
      <c r="L5" s="3" t="s">
        <v>157</v>
      </c>
      <c r="M5" s="3" t="s">
        <v>158</v>
      </c>
      <c r="N5" s="3" t="s">
        <v>151</v>
      </c>
      <c r="O5" s="3" t="s">
        <v>353</v>
      </c>
      <c r="P5" s="3" t="s">
        <v>67</v>
      </c>
      <c r="Q5" s="3" t="s">
        <v>54</v>
      </c>
      <c r="R5" s="3" t="s">
        <v>86</v>
      </c>
      <c r="S5" s="5" t="s">
        <v>567</v>
      </c>
      <c r="T5">
        <f t="shared" ca="1" si="0"/>
        <v>24</v>
      </c>
      <c r="U5" t="b">
        <f t="shared" si="1"/>
        <v>0</v>
      </c>
      <c r="V5">
        <f t="shared" ca="1" si="2"/>
        <v>15</v>
      </c>
    </row>
    <row r="6" spans="1:22">
      <c r="A6" t="s">
        <v>522</v>
      </c>
      <c r="B6" t="s">
        <v>384</v>
      </c>
      <c r="C6" s="1" t="s">
        <v>523</v>
      </c>
      <c r="D6" s="4" t="s">
        <v>385</v>
      </c>
      <c r="E6" s="2" t="s">
        <v>65</v>
      </c>
      <c r="F6" s="2" t="s">
        <v>524</v>
      </c>
      <c r="G6" s="3" t="s">
        <v>525</v>
      </c>
      <c r="H6" s="3" t="s">
        <v>526</v>
      </c>
      <c r="I6" s="3" t="s">
        <v>112</v>
      </c>
      <c r="J6" s="3" t="s">
        <v>527</v>
      </c>
      <c r="K6" s="3" t="s">
        <v>56</v>
      </c>
      <c r="L6" s="3" t="s">
        <v>49</v>
      </c>
      <c r="M6" s="3" t="s">
        <v>122</v>
      </c>
      <c r="N6" s="3" t="s">
        <v>23</v>
      </c>
      <c r="O6" s="3" t="s">
        <v>528</v>
      </c>
      <c r="P6" s="3" t="s">
        <v>56</v>
      </c>
      <c r="Q6" s="3" t="s">
        <v>54</v>
      </c>
      <c r="R6" s="3" t="s">
        <v>86</v>
      </c>
      <c r="S6" s="5" t="s">
        <v>529</v>
      </c>
      <c r="T6">
        <f t="shared" ca="1" si="0"/>
        <v>32</v>
      </c>
      <c r="U6" t="b">
        <f t="shared" si="1"/>
        <v>0</v>
      </c>
      <c r="V6">
        <f t="shared" ca="1" si="2"/>
        <v>6</v>
      </c>
    </row>
    <row r="7" spans="1:22">
      <c r="A7" t="s">
        <v>568</v>
      </c>
      <c r="B7" t="s">
        <v>384</v>
      </c>
      <c r="C7" s="1" t="s">
        <v>569</v>
      </c>
      <c r="D7" s="4" t="s">
        <v>385</v>
      </c>
      <c r="E7" s="2" t="s">
        <v>60</v>
      </c>
      <c r="F7" s="2" t="s">
        <v>23</v>
      </c>
      <c r="G7" s="3" t="s">
        <v>570</v>
      </c>
      <c r="H7" s="3" t="s">
        <v>355</v>
      </c>
      <c r="I7" s="3" t="s">
        <v>159</v>
      </c>
      <c r="J7" s="3" t="s">
        <v>571</v>
      </c>
      <c r="K7" s="3" t="s">
        <v>250</v>
      </c>
      <c r="L7" s="3" t="s">
        <v>49</v>
      </c>
      <c r="M7" s="3" t="s">
        <v>61</v>
      </c>
      <c r="N7" s="3" t="s">
        <v>23</v>
      </c>
      <c r="O7" s="3" t="s">
        <v>572</v>
      </c>
      <c r="P7" s="3" t="s">
        <v>348</v>
      </c>
      <c r="Q7" s="3" t="s">
        <v>54</v>
      </c>
      <c r="R7" s="3" t="s">
        <v>86</v>
      </c>
      <c r="S7" s="5" t="s">
        <v>573</v>
      </c>
      <c r="T7">
        <f t="shared" ca="1" si="0"/>
        <v>15</v>
      </c>
      <c r="U7" t="b">
        <f t="shared" si="1"/>
        <v>0</v>
      </c>
      <c r="V7">
        <f t="shared" ca="1" si="2"/>
        <v>8</v>
      </c>
    </row>
    <row r="8" spans="1:22">
      <c r="A8" t="s">
        <v>456</v>
      </c>
      <c r="B8" t="s">
        <v>389</v>
      </c>
      <c r="C8" s="1" t="s">
        <v>457</v>
      </c>
      <c r="D8" s="4" t="s">
        <v>391</v>
      </c>
      <c r="E8" s="2" t="s">
        <v>221</v>
      </c>
      <c r="F8" s="2" t="s">
        <v>458</v>
      </c>
      <c r="G8" s="3" t="s">
        <v>164</v>
      </c>
      <c r="H8" s="3" t="s">
        <v>165</v>
      </c>
      <c r="I8" s="3" t="s">
        <v>166</v>
      </c>
      <c r="J8" s="3" t="s">
        <v>167</v>
      </c>
      <c r="K8" s="3" t="s">
        <v>29</v>
      </c>
      <c r="L8" s="3" t="s">
        <v>49</v>
      </c>
      <c r="M8" s="3" t="s">
        <v>50</v>
      </c>
      <c r="N8" s="3" t="s">
        <v>23</v>
      </c>
      <c r="O8" s="3" t="s">
        <v>44</v>
      </c>
      <c r="P8" s="3" t="s">
        <v>29</v>
      </c>
      <c r="Q8" s="3" t="s">
        <v>38</v>
      </c>
      <c r="R8" s="3" t="s">
        <v>86</v>
      </c>
      <c r="S8" s="5" t="s">
        <v>459</v>
      </c>
      <c r="T8">
        <f t="shared" ca="1" si="0"/>
        <v>42</v>
      </c>
      <c r="U8" t="b">
        <f t="shared" si="1"/>
        <v>0</v>
      </c>
      <c r="V8">
        <f t="shared" ca="1" si="2"/>
        <v>24</v>
      </c>
    </row>
    <row r="9" spans="1:22">
      <c r="A9" t="s">
        <v>469</v>
      </c>
      <c r="B9" t="s">
        <v>389</v>
      </c>
      <c r="C9" s="1" t="s">
        <v>470</v>
      </c>
      <c r="D9" s="4" t="s">
        <v>391</v>
      </c>
      <c r="E9" s="2" t="s">
        <v>45</v>
      </c>
      <c r="F9" s="2" t="s">
        <v>471</v>
      </c>
      <c r="G9" s="3" t="s">
        <v>186</v>
      </c>
      <c r="H9" s="3" t="s">
        <v>187</v>
      </c>
      <c r="I9" s="3" t="s">
        <v>188</v>
      </c>
      <c r="J9" s="3" t="s">
        <v>189</v>
      </c>
      <c r="K9" s="3" t="s">
        <v>190</v>
      </c>
      <c r="L9" s="3" t="s">
        <v>49</v>
      </c>
      <c r="M9" s="3" t="s">
        <v>191</v>
      </c>
      <c r="N9" s="3" t="s">
        <v>23</v>
      </c>
      <c r="O9" s="3" t="s">
        <v>192</v>
      </c>
      <c r="P9" s="3" t="s">
        <v>193</v>
      </c>
      <c r="Q9" s="3" t="s">
        <v>54</v>
      </c>
      <c r="R9" s="3" t="s">
        <v>86</v>
      </c>
      <c r="S9" s="5" t="s">
        <v>472</v>
      </c>
      <c r="T9">
        <f t="shared" ca="1" si="0"/>
        <v>32</v>
      </c>
      <c r="U9" t="b">
        <f t="shared" si="1"/>
        <v>0</v>
      </c>
      <c r="V9">
        <f t="shared" ca="1" si="2"/>
        <v>8</v>
      </c>
    </row>
    <row r="10" spans="1:22">
      <c r="A10" t="s">
        <v>530</v>
      </c>
      <c r="B10" t="s">
        <v>389</v>
      </c>
      <c r="C10" s="1" t="s">
        <v>531</v>
      </c>
      <c r="D10" s="4" t="s">
        <v>391</v>
      </c>
      <c r="E10" s="2" t="s">
        <v>45</v>
      </c>
      <c r="F10" s="2" t="s">
        <v>532</v>
      </c>
      <c r="G10" s="3" t="s">
        <v>533</v>
      </c>
      <c r="H10" s="3" t="s">
        <v>264</v>
      </c>
      <c r="I10" s="3" t="s">
        <v>119</v>
      </c>
      <c r="J10" s="3" t="s">
        <v>534</v>
      </c>
      <c r="K10" s="3" t="s">
        <v>277</v>
      </c>
      <c r="L10" s="3" t="s">
        <v>49</v>
      </c>
      <c r="M10" s="3" t="s">
        <v>535</v>
      </c>
      <c r="N10" s="3" t="s">
        <v>23</v>
      </c>
      <c r="O10" s="3" t="s">
        <v>265</v>
      </c>
      <c r="P10" s="3" t="s">
        <v>48</v>
      </c>
      <c r="Q10" s="3" t="s">
        <v>54</v>
      </c>
      <c r="R10" s="3" t="s">
        <v>86</v>
      </c>
      <c r="S10" s="5" t="s">
        <v>536</v>
      </c>
      <c r="T10">
        <f t="shared" ca="1" si="0"/>
        <v>47</v>
      </c>
      <c r="U10" t="b">
        <f t="shared" si="1"/>
        <v>0</v>
      </c>
      <c r="V10">
        <f t="shared" ca="1" si="2"/>
        <v>5</v>
      </c>
    </row>
    <row r="11" spans="1:22">
      <c r="A11" t="s">
        <v>497</v>
      </c>
      <c r="B11" t="s">
        <v>399</v>
      </c>
      <c r="C11" s="1" t="s">
        <v>498</v>
      </c>
      <c r="D11" s="4" t="s">
        <v>400</v>
      </c>
      <c r="E11" s="2" t="s">
        <v>163</v>
      </c>
      <c r="F11" s="2" t="s">
        <v>499</v>
      </c>
      <c r="G11" s="3" t="s">
        <v>500</v>
      </c>
      <c r="H11" s="3" t="s">
        <v>227</v>
      </c>
      <c r="I11" s="3" t="s">
        <v>213</v>
      </c>
      <c r="J11" s="3" t="s">
        <v>501</v>
      </c>
      <c r="K11" s="3" t="s">
        <v>67</v>
      </c>
      <c r="L11" s="3" t="s">
        <v>49</v>
      </c>
      <c r="M11" s="3" t="s">
        <v>61</v>
      </c>
      <c r="N11" s="3" t="s">
        <v>23</v>
      </c>
      <c r="O11" s="3" t="s">
        <v>401</v>
      </c>
      <c r="P11" s="3" t="s">
        <v>67</v>
      </c>
      <c r="Q11" s="3" t="s">
        <v>54</v>
      </c>
      <c r="R11" s="3" t="s">
        <v>86</v>
      </c>
      <c r="S11" s="5" t="s">
        <v>502</v>
      </c>
      <c r="T11">
        <f t="shared" ca="1" si="0"/>
        <v>19</v>
      </c>
      <c r="U11" t="b">
        <f t="shared" si="1"/>
        <v>0</v>
      </c>
      <c r="V11">
        <f t="shared" ca="1" si="2"/>
        <v>3</v>
      </c>
    </row>
    <row r="12" spans="1:22">
      <c r="A12" t="s">
        <v>558</v>
      </c>
      <c r="B12" t="s">
        <v>399</v>
      </c>
      <c r="C12" s="1" t="s">
        <v>559</v>
      </c>
      <c r="D12" s="4" t="s">
        <v>400</v>
      </c>
      <c r="E12" s="2" t="s">
        <v>21</v>
      </c>
      <c r="F12" s="2" t="s">
        <v>560</v>
      </c>
      <c r="G12" s="3" t="s">
        <v>561</v>
      </c>
      <c r="H12" s="3" t="s">
        <v>315</v>
      </c>
      <c r="I12" s="3" t="s">
        <v>316</v>
      </c>
      <c r="J12" s="3" t="s">
        <v>562</v>
      </c>
      <c r="K12" s="3" t="s">
        <v>63</v>
      </c>
      <c r="L12" s="3" t="s">
        <v>49</v>
      </c>
      <c r="M12" s="3" t="s">
        <v>50</v>
      </c>
      <c r="N12" s="3" t="s">
        <v>23</v>
      </c>
      <c r="O12" s="3" t="s">
        <v>23</v>
      </c>
      <c r="P12" s="3" t="s">
        <v>146</v>
      </c>
      <c r="Q12" s="3" t="s">
        <v>54</v>
      </c>
      <c r="R12" s="3" t="s">
        <v>86</v>
      </c>
      <c r="S12" s="5" t="s">
        <v>563</v>
      </c>
      <c r="T12">
        <f t="shared" ca="1" si="0"/>
        <v>32</v>
      </c>
      <c r="U12" t="b">
        <f t="shared" si="1"/>
        <v>0</v>
      </c>
      <c r="V12">
        <f t="shared" ca="1" si="2"/>
        <v>15</v>
      </c>
    </row>
    <row r="13" spans="1:22">
      <c r="A13" t="s">
        <v>388</v>
      </c>
      <c r="B13" t="s">
        <v>389</v>
      </c>
      <c r="C13" s="1" t="s">
        <v>390</v>
      </c>
      <c r="D13" s="4" t="s">
        <v>391</v>
      </c>
      <c r="E13" s="2" t="s">
        <v>392</v>
      </c>
      <c r="F13" s="2" t="s">
        <v>393</v>
      </c>
      <c r="G13" s="3" t="s">
        <v>394</v>
      </c>
      <c r="H13" s="3" t="s">
        <v>395</v>
      </c>
      <c r="I13" s="3" t="s">
        <v>223</v>
      </c>
      <c r="J13" s="3" t="s">
        <v>396</v>
      </c>
      <c r="K13" s="3" t="s">
        <v>36</v>
      </c>
      <c r="L13" s="3" t="s">
        <v>30</v>
      </c>
      <c r="M13" s="3" t="s">
        <v>120</v>
      </c>
      <c r="N13" s="3" t="s">
        <v>23</v>
      </c>
      <c r="O13" s="3" t="s">
        <v>397</v>
      </c>
      <c r="P13" s="3" t="s">
        <v>36</v>
      </c>
      <c r="Q13" s="3" t="s">
        <v>54</v>
      </c>
      <c r="R13" s="3" t="s">
        <v>26</v>
      </c>
      <c r="S13" s="5" t="s">
        <v>398</v>
      </c>
      <c r="T13">
        <f t="shared" ca="1" si="0"/>
        <v>45</v>
      </c>
      <c r="U13" t="b">
        <f t="shared" si="1"/>
        <v>0</v>
      </c>
      <c r="V13">
        <f t="shared" ca="1" si="2"/>
        <v>4</v>
      </c>
    </row>
    <row r="14" spans="1:22">
      <c r="A14" t="s">
        <v>510</v>
      </c>
      <c r="B14" t="s">
        <v>399</v>
      </c>
      <c r="C14" s="1" t="s">
        <v>511</v>
      </c>
      <c r="D14" s="4" t="s">
        <v>400</v>
      </c>
      <c r="E14" s="2" t="s">
        <v>65</v>
      </c>
      <c r="F14" s="2" t="s">
        <v>512</v>
      </c>
      <c r="G14" s="3" t="s">
        <v>262</v>
      </c>
      <c r="H14" s="3" t="s">
        <v>260</v>
      </c>
      <c r="I14" s="3" t="s">
        <v>23</v>
      </c>
      <c r="J14" s="3" t="s">
        <v>263</v>
      </c>
      <c r="K14" s="3" t="s">
        <v>48</v>
      </c>
      <c r="L14" s="3" t="s">
        <v>49</v>
      </c>
      <c r="M14" s="3" t="s">
        <v>50</v>
      </c>
      <c r="N14" s="3" t="s">
        <v>23</v>
      </c>
      <c r="O14" s="3" t="s">
        <v>261</v>
      </c>
      <c r="P14" s="3" t="s">
        <v>29</v>
      </c>
      <c r="Q14" s="3" t="s">
        <v>54</v>
      </c>
      <c r="R14" s="3" t="s">
        <v>86</v>
      </c>
      <c r="S14" s="5" t="s">
        <v>513</v>
      </c>
      <c r="T14">
        <f t="shared" ca="1" si="0"/>
        <v>20</v>
      </c>
      <c r="U14" t="b">
        <f t="shared" si="1"/>
        <v>0</v>
      </c>
      <c r="V14">
        <f t="shared" ca="1" si="2"/>
        <v>11</v>
      </c>
    </row>
    <row r="15" spans="1:22">
      <c r="A15" t="s">
        <v>446</v>
      </c>
      <c r="B15" t="s">
        <v>403</v>
      </c>
      <c r="C15" s="1" t="s">
        <v>447</v>
      </c>
      <c r="D15" s="4" t="s">
        <v>404</v>
      </c>
      <c r="E15" s="2" t="s">
        <v>21</v>
      </c>
      <c r="F15" s="2" t="s">
        <v>448</v>
      </c>
      <c r="G15" s="3" t="s">
        <v>449</v>
      </c>
      <c r="H15" s="3" t="s">
        <v>450</v>
      </c>
      <c r="I15" s="3" t="s">
        <v>296</v>
      </c>
      <c r="J15" s="3" t="s">
        <v>451</v>
      </c>
      <c r="K15" s="3" t="s">
        <v>29</v>
      </c>
      <c r="L15" s="3" t="s">
        <v>97</v>
      </c>
      <c r="M15" s="3" t="s">
        <v>31</v>
      </c>
      <c r="N15" s="3" t="s">
        <v>32</v>
      </c>
      <c r="O15" s="3" t="s">
        <v>452</v>
      </c>
      <c r="P15" s="3" t="s">
        <v>29</v>
      </c>
      <c r="Q15" s="3" t="s">
        <v>34</v>
      </c>
      <c r="R15" s="3" t="s">
        <v>86</v>
      </c>
      <c r="S15" s="5" t="s">
        <v>453</v>
      </c>
      <c r="T15">
        <f t="shared" ca="1" si="0"/>
        <v>1</v>
      </c>
      <c r="U15" t="b">
        <f t="shared" si="1"/>
        <v>0</v>
      </c>
      <c r="V15">
        <f t="shared" ca="1" si="2"/>
        <v>23</v>
      </c>
    </row>
    <row r="16" spans="1:22">
      <c r="A16" t="s">
        <v>411</v>
      </c>
      <c r="B16" t="s">
        <v>384</v>
      </c>
      <c r="C16" s="1" t="s">
        <v>412</v>
      </c>
      <c r="D16" s="4" t="s">
        <v>385</v>
      </c>
      <c r="E16" s="2" t="s">
        <v>90</v>
      </c>
      <c r="F16" s="2" t="s">
        <v>413</v>
      </c>
      <c r="G16" s="3" t="s">
        <v>414</v>
      </c>
      <c r="H16" s="3" t="s">
        <v>415</v>
      </c>
      <c r="I16" s="3" t="s">
        <v>23</v>
      </c>
      <c r="J16" s="3" t="s">
        <v>416</v>
      </c>
      <c r="K16" s="3" t="s">
        <v>107</v>
      </c>
      <c r="L16" s="3" t="s">
        <v>97</v>
      </c>
      <c r="M16" s="3" t="s">
        <v>31</v>
      </c>
      <c r="N16" s="3" t="s">
        <v>417</v>
      </c>
      <c r="O16" s="3" t="s">
        <v>98</v>
      </c>
      <c r="P16" s="3" t="s">
        <v>107</v>
      </c>
      <c r="Q16" s="3" t="s">
        <v>38</v>
      </c>
      <c r="R16" s="3" t="s">
        <v>86</v>
      </c>
      <c r="S16" s="5" t="s">
        <v>418</v>
      </c>
      <c r="T16">
        <f t="shared" ca="1" si="0"/>
        <v>47</v>
      </c>
      <c r="U16" t="b">
        <f t="shared" si="1"/>
        <v>0</v>
      </c>
      <c r="V16">
        <f t="shared" ca="1" si="2"/>
        <v>8</v>
      </c>
    </row>
    <row r="17" spans="1:22">
      <c r="A17" t="s">
        <v>514</v>
      </c>
      <c r="B17" t="s">
        <v>389</v>
      </c>
      <c r="C17" s="1" t="s">
        <v>515</v>
      </c>
      <c r="D17" s="4" t="s">
        <v>391</v>
      </c>
      <c r="E17" s="2" t="s">
        <v>21</v>
      </c>
      <c r="F17" s="2" t="s">
        <v>516</v>
      </c>
      <c r="G17" s="3" t="s">
        <v>517</v>
      </c>
      <c r="H17" s="3" t="s">
        <v>518</v>
      </c>
      <c r="I17" s="3" t="s">
        <v>201</v>
      </c>
      <c r="J17" s="3" t="s">
        <v>519</v>
      </c>
      <c r="K17" s="3" t="s">
        <v>56</v>
      </c>
      <c r="L17" s="3" t="s">
        <v>49</v>
      </c>
      <c r="M17" s="3" t="s">
        <v>191</v>
      </c>
      <c r="N17" s="3" t="s">
        <v>23</v>
      </c>
      <c r="O17" s="3" t="s">
        <v>520</v>
      </c>
      <c r="P17" s="3" t="s">
        <v>56</v>
      </c>
      <c r="Q17" s="3" t="s">
        <v>54</v>
      </c>
      <c r="R17" s="3" t="s">
        <v>86</v>
      </c>
      <c r="S17" s="5" t="s">
        <v>521</v>
      </c>
      <c r="T17">
        <f t="shared" ca="1" si="0"/>
        <v>15</v>
      </c>
      <c r="U17" t="b">
        <f t="shared" si="1"/>
        <v>0</v>
      </c>
      <c r="V17">
        <f t="shared" ca="1" si="2"/>
        <v>12</v>
      </c>
    </row>
    <row r="18" spans="1:22">
      <c r="A18" t="s">
        <v>537</v>
      </c>
      <c r="B18" t="s">
        <v>409</v>
      </c>
      <c r="C18" s="1" t="s">
        <v>538</v>
      </c>
      <c r="D18" s="4" t="s">
        <v>410</v>
      </c>
      <c r="E18" s="2" t="s">
        <v>116</v>
      </c>
      <c r="F18" s="2" t="s">
        <v>539</v>
      </c>
      <c r="G18" s="3" t="s">
        <v>540</v>
      </c>
      <c r="H18" s="3" t="s">
        <v>541</v>
      </c>
      <c r="I18" s="3" t="s">
        <v>23</v>
      </c>
      <c r="J18" s="3" t="s">
        <v>542</v>
      </c>
      <c r="K18" s="3" t="s">
        <v>59</v>
      </c>
      <c r="L18" s="3" t="s">
        <v>30</v>
      </c>
      <c r="M18" s="3" t="s">
        <v>140</v>
      </c>
      <c r="N18" s="3" t="s">
        <v>347</v>
      </c>
      <c r="O18" s="3" t="s">
        <v>543</v>
      </c>
      <c r="P18" s="3" t="s">
        <v>59</v>
      </c>
      <c r="Q18" s="3" t="s">
        <v>54</v>
      </c>
      <c r="R18" s="3" t="s">
        <v>86</v>
      </c>
      <c r="S18" s="5" t="s">
        <v>544</v>
      </c>
      <c r="T18">
        <f t="shared" ca="1" si="0"/>
        <v>35</v>
      </c>
      <c r="U18" t="b">
        <f t="shared" si="1"/>
        <v>0</v>
      </c>
      <c r="V18">
        <f t="shared" ca="1" si="2"/>
        <v>4</v>
      </c>
    </row>
    <row r="19" spans="1:22">
      <c r="A19" t="s">
        <v>574</v>
      </c>
      <c r="B19" t="s">
        <v>389</v>
      </c>
      <c r="C19" s="1" t="s">
        <v>575</v>
      </c>
      <c r="D19" s="4" t="s">
        <v>391</v>
      </c>
      <c r="E19" s="2" t="s">
        <v>72</v>
      </c>
      <c r="F19" s="2" t="s">
        <v>576</v>
      </c>
      <c r="G19" s="3" t="s">
        <v>577</v>
      </c>
      <c r="H19" s="3" t="s">
        <v>578</v>
      </c>
      <c r="I19" s="3" t="s">
        <v>281</v>
      </c>
      <c r="J19" s="3" t="s">
        <v>579</v>
      </c>
      <c r="K19" s="3" t="s">
        <v>99</v>
      </c>
      <c r="L19" s="3" t="s">
        <v>97</v>
      </c>
      <c r="M19" s="3" t="s">
        <v>120</v>
      </c>
      <c r="N19" s="3" t="s">
        <v>23</v>
      </c>
      <c r="O19" s="3" t="s">
        <v>580</v>
      </c>
      <c r="P19" s="3" t="s">
        <v>59</v>
      </c>
      <c r="Q19" s="3" t="s">
        <v>34</v>
      </c>
      <c r="R19" s="3" t="s">
        <v>86</v>
      </c>
      <c r="S19" s="5" t="s">
        <v>581</v>
      </c>
      <c r="T19">
        <f t="shared" ca="1" si="0"/>
        <v>30</v>
      </c>
      <c r="U19" t="b">
        <f t="shared" si="1"/>
        <v>0</v>
      </c>
      <c r="V19">
        <f t="shared" ca="1" si="2"/>
        <v>16</v>
      </c>
    </row>
    <row r="20" spans="1:22">
      <c r="A20" t="s">
        <v>460</v>
      </c>
      <c r="B20" t="s">
        <v>384</v>
      </c>
      <c r="C20" s="1" t="s">
        <v>461</v>
      </c>
      <c r="D20" s="4" t="s">
        <v>385</v>
      </c>
      <c r="E20" s="2" t="s">
        <v>21</v>
      </c>
      <c r="F20" s="2" t="s">
        <v>462</v>
      </c>
      <c r="G20" s="3" t="s">
        <v>463</v>
      </c>
      <c r="H20" s="3" t="s">
        <v>464</v>
      </c>
      <c r="I20" s="3" t="s">
        <v>23</v>
      </c>
      <c r="J20" s="3" t="s">
        <v>465</v>
      </c>
      <c r="K20" s="3" t="s">
        <v>36</v>
      </c>
      <c r="L20" s="3" t="s">
        <v>97</v>
      </c>
      <c r="M20" s="3" t="s">
        <v>31</v>
      </c>
      <c r="N20" s="3" t="s">
        <v>150</v>
      </c>
      <c r="O20" s="3" t="s">
        <v>466</v>
      </c>
      <c r="P20" s="3" t="s">
        <v>467</v>
      </c>
      <c r="Q20" s="3" t="s">
        <v>38</v>
      </c>
      <c r="R20" s="3" t="s">
        <v>86</v>
      </c>
      <c r="S20" s="5" t="s">
        <v>468</v>
      </c>
      <c r="T20">
        <f t="shared" ca="1" si="0"/>
        <v>28</v>
      </c>
      <c r="U20" t="b">
        <f t="shared" si="1"/>
        <v>0</v>
      </c>
      <c r="V20">
        <f t="shared" ca="1" si="2"/>
        <v>22</v>
      </c>
    </row>
    <row r="21" spans="1:22">
      <c r="A21" t="s">
        <v>483</v>
      </c>
      <c r="B21" t="s">
        <v>389</v>
      </c>
      <c r="C21" s="1" t="s">
        <v>484</v>
      </c>
      <c r="D21" s="4" t="s">
        <v>391</v>
      </c>
      <c r="E21" s="2" t="s">
        <v>21</v>
      </c>
      <c r="F21" s="2" t="s">
        <v>485</v>
      </c>
      <c r="G21" s="3" t="s">
        <v>486</v>
      </c>
      <c r="H21" s="3" t="s">
        <v>487</v>
      </c>
      <c r="I21" s="3" t="s">
        <v>35</v>
      </c>
      <c r="J21" s="3" t="s">
        <v>488</v>
      </c>
      <c r="K21" s="3" t="s">
        <v>41</v>
      </c>
      <c r="L21" s="3" t="s">
        <v>97</v>
      </c>
      <c r="M21" s="3" t="s">
        <v>120</v>
      </c>
      <c r="N21" s="3" t="s">
        <v>23</v>
      </c>
      <c r="O21" s="3" t="s">
        <v>489</v>
      </c>
      <c r="P21" s="3" t="s">
        <v>36</v>
      </c>
      <c r="Q21" s="3" t="s">
        <v>54</v>
      </c>
      <c r="R21" s="3" t="s">
        <v>86</v>
      </c>
      <c r="S21" s="5" t="s">
        <v>490</v>
      </c>
      <c r="T21">
        <f t="shared" ca="1" si="0"/>
        <v>3</v>
      </c>
      <c r="U21" t="b">
        <f t="shared" si="1"/>
        <v>0</v>
      </c>
      <c r="V21">
        <f t="shared" ca="1" si="2"/>
        <v>4</v>
      </c>
    </row>
    <row r="22" spans="1:22">
      <c r="A22" t="s">
        <v>421</v>
      </c>
      <c r="B22" t="s">
        <v>389</v>
      </c>
      <c r="C22" s="1" t="s">
        <v>422</v>
      </c>
      <c r="D22" s="4" t="s">
        <v>391</v>
      </c>
      <c r="E22" s="2" t="s">
        <v>45</v>
      </c>
      <c r="F22" s="2" t="s">
        <v>423</v>
      </c>
      <c r="G22" s="3" t="s">
        <v>424</v>
      </c>
      <c r="H22" s="3" t="s">
        <v>22</v>
      </c>
      <c r="I22" s="3" t="s">
        <v>23</v>
      </c>
      <c r="J22" s="3" t="s">
        <v>425</v>
      </c>
      <c r="K22" s="3" t="s">
        <v>420</v>
      </c>
      <c r="L22" s="3" t="s">
        <v>24</v>
      </c>
      <c r="M22" s="3" t="s">
        <v>96</v>
      </c>
      <c r="N22" s="3" t="s">
        <v>407</v>
      </c>
      <c r="O22" s="3" t="s">
        <v>23</v>
      </c>
      <c r="P22" s="3" t="s">
        <v>23</v>
      </c>
      <c r="Q22" s="3" t="s">
        <v>25</v>
      </c>
      <c r="R22" s="3" t="s">
        <v>86</v>
      </c>
      <c r="S22" s="5" t="s">
        <v>426</v>
      </c>
      <c r="T22">
        <f t="shared" ca="1" si="0"/>
        <v>46</v>
      </c>
      <c r="U22" t="b">
        <f t="shared" si="1"/>
        <v>0</v>
      </c>
      <c r="V22">
        <f t="shared" ca="1" si="2"/>
        <v>10</v>
      </c>
    </row>
    <row r="23" spans="1:22">
      <c r="A23" t="s">
        <v>435</v>
      </c>
      <c r="B23" t="s">
        <v>399</v>
      </c>
      <c r="C23" s="1" t="s">
        <v>436</v>
      </c>
      <c r="D23" s="4" t="s">
        <v>400</v>
      </c>
      <c r="E23" s="2" t="s">
        <v>60</v>
      </c>
      <c r="F23" s="2" t="s">
        <v>23</v>
      </c>
      <c r="G23" s="3" t="s">
        <v>437</v>
      </c>
      <c r="H23" s="3" t="s">
        <v>419</v>
      </c>
      <c r="I23" s="3" t="s">
        <v>377</v>
      </c>
      <c r="J23" s="3" t="s">
        <v>438</v>
      </c>
      <c r="K23" s="3" t="s">
        <v>146</v>
      </c>
      <c r="L23" s="3" t="s">
        <v>49</v>
      </c>
      <c r="M23" s="3" t="s">
        <v>50</v>
      </c>
      <c r="N23" s="3" t="s">
        <v>23</v>
      </c>
      <c r="O23" s="3" t="s">
        <v>439</v>
      </c>
      <c r="P23" s="3" t="s">
        <v>146</v>
      </c>
      <c r="Q23" s="3" t="s">
        <v>54</v>
      </c>
      <c r="R23" s="3" t="s">
        <v>86</v>
      </c>
      <c r="S23" s="5" t="s">
        <v>440</v>
      </c>
      <c r="T23">
        <f t="shared" ca="1" si="0"/>
        <v>19</v>
      </c>
      <c r="U23" t="b">
        <f t="shared" si="1"/>
        <v>0</v>
      </c>
      <c r="V23">
        <f t="shared" ca="1" si="2"/>
        <v>7</v>
      </c>
    </row>
    <row r="24" spans="1:22">
      <c r="A24" t="s">
        <v>153</v>
      </c>
      <c r="B24" t="s">
        <v>384</v>
      </c>
      <c r="C24" s="1" t="s">
        <v>154</v>
      </c>
      <c r="D24" s="4" t="s">
        <v>385</v>
      </c>
      <c r="E24" s="2" t="s">
        <v>65</v>
      </c>
      <c r="F24" s="2" t="s">
        <v>23</v>
      </c>
      <c r="G24" s="3" t="s">
        <v>428</v>
      </c>
      <c r="H24" s="3" t="s">
        <v>429</v>
      </c>
      <c r="I24" s="3" t="s">
        <v>328</v>
      </c>
      <c r="J24" s="3" t="s">
        <v>430</v>
      </c>
      <c r="K24" s="3" t="s">
        <v>137</v>
      </c>
      <c r="L24" s="3" t="s">
        <v>49</v>
      </c>
      <c r="M24" s="3" t="s">
        <v>50</v>
      </c>
      <c r="N24" s="3" t="s">
        <v>23</v>
      </c>
      <c r="O24" s="3" t="s">
        <v>431</v>
      </c>
      <c r="P24" s="3" t="s">
        <v>137</v>
      </c>
      <c r="Q24" s="3" t="s">
        <v>54</v>
      </c>
      <c r="R24" s="3" t="s">
        <v>86</v>
      </c>
      <c r="S24" s="5" t="s">
        <v>432</v>
      </c>
      <c r="T24">
        <f t="shared" ca="1" si="0"/>
        <v>17</v>
      </c>
      <c r="U24" t="b">
        <f t="shared" si="1"/>
        <v>0</v>
      </c>
      <c r="V24">
        <f t="shared" ca="1" si="2"/>
        <v>17</v>
      </c>
    </row>
    <row r="25" spans="1:22">
      <c r="A25" t="s">
        <v>548</v>
      </c>
      <c r="B25" t="s">
        <v>399</v>
      </c>
      <c r="C25" s="1" t="s">
        <v>549</v>
      </c>
      <c r="D25" s="4" t="s">
        <v>400</v>
      </c>
      <c r="E25" s="2" t="s">
        <v>21</v>
      </c>
      <c r="F25" s="2" t="s">
        <v>550</v>
      </c>
      <c r="G25" s="3" t="s">
        <v>551</v>
      </c>
      <c r="H25" s="3" t="s">
        <v>552</v>
      </c>
      <c r="I25" s="3" t="s">
        <v>553</v>
      </c>
      <c r="J25" s="3" t="s">
        <v>554</v>
      </c>
      <c r="K25" s="3" t="s">
        <v>555</v>
      </c>
      <c r="L25" s="3" t="s">
        <v>49</v>
      </c>
      <c r="M25" s="3" t="s">
        <v>50</v>
      </c>
      <c r="N25" s="3" t="s">
        <v>23</v>
      </c>
      <c r="O25" s="3" t="s">
        <v>556</v>
      </c>
      <c r="P25" s="3" t="s">
        <v>278</v>
      </c>
      <c r="Q25" s="3" t="s">
        <v>54</v>
      </c>
      <c r="R25" s="3" t="s">
        <v>86</v>
      </c>
      <c r="S25" s="5" t="s">
        <v>557</v>
      </c>
      <c r="T25">
        <f t="shared" ca="1" si="0"/>
        <v>19</v>
      </c>
      <c r="U25" t="b">
        <f t="shared" si="1"/>
        <v>0</v>
      </c>
      <c r="V25">
        <f t="shared" ca="1" si="2"/>
        <v>21</v>
      </c>
    </row>
    <row r="26" spans="1:22">
      <c r="A26" t="s">
        <v>491</v>
      </c>
      <c r="B26" t="s">
        <v>405</v>
      </c>
      <c r="C26" s="1" t="s">
        <v>492</v>
      </c>
      <c r="D26" s="4" t="s">
        <v>406</v>
      </c>
      <c r="E26" s="2" t="s">
        <v>21</v>
      </c>
      <c r="F26" s="2" t="s">
        <v>493</v>
      </c>
      <c r="G26" s="3" t="s">
        <v>494</v>
      </c>
      <c r="H26" s="3" t="s">
        <v>168</v>
      </c>
      <c r="I26" s="3" t="s">
        <v>66</v>
      </c>
      <c r="J26" s="3" t="s">
        <v>495</v>
      </c>
      <c r="K26" s="3" t="s">
        <v>41</v>
      </c>
      <c r="L26" s="3" t="s">
        <v>49</v>
      </c>
      <c r="M26" s="3" t="s">
        <v>61</v>
      </c>
      <c r="N26" s="3" t="s">
        <v>23</v>
      </c>
      <c r="O26" s="3" t="s">
        <v>160</v>
      </c>
      <c r="P26" s="3" t="s">
        <v>41</v>
      </c>
      <c r="Q26" s="3" t="s">
        <v>38</v>
      </c>
      <c r="R26" s="3" t="s">
        <v>86</v>
      </c>
      <c r="S26" s="5" t="s">
        <v>496</v>
      </c>
      <c r="T26">
        <f t="shared" ca="1" si="0"/>
        <v>19</v>
      </c>
      <c r="U26" t="b">
        <f t="shared" si="1"/>
        <v>0</v>
      </c>
      <c r="V26">
        <f t="shared" ca="1" si="2"/>
        <v>2</v>
      </c>
    </row>
  </sheetData>
  <sortState ref="A2:V46">
    <sortCondition ref="V2:V46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3"/>
  <sheetViews>
    <sheetView topLeftCell="A3" workbookViewId="0">
      <selection activeCell="A3" sqref="A3"/>
    </sheetView>
  </sheetViews>
  <sheetFormatPr baseColWidth="10" defaultRowHeight="14" x14ac:dyDescent="0"/>
  <cols>
    <col min="1" max="1" width="20.6640625" bestFit="1" customWidth="1"/>
    <col min="2" max="2" width="4.83203125" bestFit="1" customWidth="1"/>
  </cols>
  <sheetData>
    <row r="3" spans="1:2">
      <c r="A3" s="6" t="s">
        <v>586</v>
      </c>
    </row>
    <row r="4" spans="1:2">
      <c r="A4" s="6" t="s">
        <v>583</v>
      </c>
      <c r="B4" t="s">
        <v>587</v>
      </c>
    </row>
    <row r="5" spans="1:2">
      <c r="A5" s="7" t="s">
        <v>23</v>
      </c>
      <c r="B5" s="8">
        <v>1</v>
      </c>
    </row>
    <row r="6" spans="1:2">
      <c r="A6" s="7" t="s">
        <v>356</v>
      </c>
      <c r="B6" s="8">
        <v>1</v>
      </c>
    </row>
    <row r="7" spans="1:2">
      <c r="A7" s="7" t="s">
        <v>212</v>
      </c>
      <c r="B7" s="8">
        <v>1</v>
      </c>
    </row>
    <row r="8" spans="1:2">
      <c r="A8" s="7" t="s">
        <v>238</v>
      </c>
      <c r="B8" s="8">
        <v>1</v>
      </c>
    </row>
    <row r="9" spans="1:2">
      <c r="A9" s="7" t="s">
        <v>266</v>
      </c>
      <c r="B9" s="8">
        <v>1</v>
      </c>
    </row>
    <row r="10" spans="1:2">
      <c r="A10" s="7" t="s">
        <v>331</v>
      </c>
      <c r="B10" s="8">
        <v>1</v>
      </c>
    </row>
    <row r="11" spans="1:2">
      <c r="A11" s="7" t="s">
        <v>249</v>
      </c>
      <c r="B11" s="8">
        <v>1</v>
      </c>
    </row>
    <row r="12" spans="1:2">
      <c r="A12" s="7" t="s">
        <v>208</v>
      </c>
      <c r="B12" s="8">
        <v>1</v>
      </c>
    </row>
    <row r="13" spans="1:2">
      <c r="A13" s="7" t="s">
        <v>280</v>
      </c>
      <c r="B13" s="8">
        <v>1</v>
      </c>
    </row>
    <row r="14" spans="1:2">
      <c r="A14" s="7" t="s">
        <v>245</v>
      </c>
      <c r="B14" s="8">
        <v>1</v>
      </c>
    </row>
    <row r="15" spans="1:2">
      <c r="A15" s="7" t="s">
        <v>203</v>
      </c>
      <c r="B15" s="8">
        <v>1</v>
      </c>
    </row>
    <row r="16" spans="1:2">
      <c r="A16" s="7" t="s">
        <v>301</v>
      </c>
      <c r="B16" s="8">
        <v>1</v>
      </c>
    </row>
    <row r="17" spans="1:2">
      <c r="A17" s="7" t="s">
        <v>362</v>
      </c>
      <c r="B17" s="8">
        <v>1</v>
      </c>
    </row>
    <row r="18" spans="1:2">
      <c r="A18" s="7" t="s">
        <v>172</v>
      </c>
      <c r="B18" s="8">
        <v>1</v>
      </c>
    </row>
    <row r="19" spans="1:2">
      <c r="A19" s="7" t="s">
        <v>68</v>
      </c>
      <c r="B19" s="8">
        <v>2</v>
      </c>
    </row>
    <row r="20" spans="1:2">
      <c r="A20" s="7" t="s">
        <v>251</v>
      </c>
      <c r="B20" s="8">
        <v>1</v>
      </c>
    </row>
    <row r="21" spans="1:2">
      <c r="A21" s="7" t="s">
        <v>227</v>
      </c>
      <c r="B21" s="8">
        <v>1</v>
      </c>
    </row>
    <row r="22" spans="1:2">
      <c r="A22" s="7" t="s">
        <v>320</v>
      </c>
      <c r="B22" s="8">
        <v>1</v>
      </c>
    </row>
    <row r="23" spans="1:2">
      <c r="A23" s="7" t="s">
        <v>148</v>
      </c>
      <c r="B23" s="8">
        <v>1</v>
      </c>
    </row>
    <row r="24" spans="1:2">
      <c r="A24" s="7" t="s">
        <v>344</v>
      </c>
      <c r="B24" s="8">
        <v>1</v>
      </c>
    </row>
    <row r="25" spans="1:2">
      <c r="A25" s="7" t="s">
        <v>340</v>
      </c>
      <c r="B25" s="8">
        <v>1</v>
      </c>
    </row>
    <row r="26" spans="1:2">
      <c r="A26" s="7" t="s">
        <v>149</v>
      </c>
      <c r="B26" s="8">
        <v>1</v>
      </c>
    </row>
    <row r="27" spans="1:2">
      <c r="A27" s="7" t="s">
        <v>135</v>
      </c>
      <c r="B27" s="8">
        <v>1</v>
      </c>
    </row>
    <row r="28" spans="1:2">
      <c r="A28" s="7" t="s">
        <v>267</v>
      </c>
      <c r="B28" s="8">
        <v>1</v>
      </c>
    </row>
    <row r="29" spans="1:2">
      <c r="A29" s="7" t="s">
        <v>92</v>
      </c>
      <c r="B29" s="8">
        <v>1</v>
      </c>
    </row>
    <row r="30" spans="1:2">
      <c r="A30" s="7" t="s">
        <v>110</v>
      </c>
      <c r="B30" s="8">
        <v>1</v>
      </c>
    </row>
    <row r="31" spans="1:2">
      <c r="A31" s="7" t="s">
        <v>127</v>
      </c>
      <c r="B31" s="8">
        <v>1</v>
      </c>
    </row>
    <row r="32" spans="1:2">
      <c r="A32" s="7" t="s">
        <v>100</v>
      </c>
      <c r="B32" s="8">
        <v>1</v>
      </c>
    </row>
    <row r="33" spans="1:2">
      <c r="A33" s="7" t="s">
        <v>176</v>
      </c>
      <c r="B33" s="8">
        <v>1</v>
      </c>
    </row>
    <row r="34" spans="1:2">
      <c r="A34" s="7" t="s">
        <v>145</v>
      </c>
      <c r="B34" s="8">
        <v>1</v>
      </c>
    </row>
    <row r="35" spans="1:2">
      <c r="A35" s="7" t="s">
        <v>22</v>
      </c>
      <c r="B35" s="8">
        <v>1</v>
      </c>
    </row>
    <row r="36" spans="1:2">
      <c r="A36" s="7" t="s">
        <v>105</v>
      </c>
      <c r="B36" s="8">
        <v>1</v>
      </c>
    </row>
    <row r="37" spans="1:2">
      <c r="A37" s="7" t="s">
        <v>222</v>
      </c>
      <c r="B37" s="8">
        <v>1</v>
      </c>
    </row>
    <row r="38" spans="1:2">
      <c r="A38" s="7" t="s">
        <v>202</v>
      </c>
      <c r="B38" s="8">
        <v>1</v>
      </c>
    </row>
    <row r="39" spans="1:2">
      <c r="A39" s="7" t="s">
        <v>82</v>
      </c>
      <c r="B39" s="8">
        <v>1</v>
      </c>
    </row>
    <row r="40" spans="1:2">
      <c r="A40" s="7" t="s">
        <v>179</v>
      </c>
      <c r="B40" s="8">
        <v>1</v>
      </c>
    </row>
    <row r="41" spans="1:2">
      <c r="A41" s="7" t="s">
        <v>198</v>
      </c>
      <c r="B41" s="8">
        <v>1</v>
      </c>
    </row>
    <row r="42" spans="1:2">
      <c r="A42" s="7" t="s">
        <v>375</v>
      </c>
      <c r="B42" s="8">
        <v>1</v>
      </c>
    </row>
    <row r="43" spans="1:2">
      <c r="A43" s="7" t="s">
        <v>232</v>
      </c>
      <c r="B43" s="8">
        <v>1</v>
      </c>
    </row>
    <row r="44" spans="1:2">
      <c r="A44" s="7" t="s">
        <v>218</v>
      </c>
      <c r="B44" s="8">
        <v>1</v>
      </c>
    </row>
    <row r="45" spans="1:2">
      <c r="A45" s="7" t="s">
        <v>185</v>
      </c>
      <c r="B45" s="8">
        <v>1</v>
      </c>
    </row>
    <row r="46" spans="1:2">
      <c r="A46" s="7" t="s">
        <v>269</v>
      </c>
      <c r="B46" s="8">
        <v>1</v>
      </c>
    </row>
    <row r="47" spans="1:2">
      <c r="A47" s="7" t="s">
        <v>57</v>
      </c>
      <c r="B47" s="8">
        <v>3</v>
      </c>
    </row>
    <row r="48" spans="1:2">
      <c r="A48" s="7" t="s">
        <v>327</v>
      </c>
      <c r="B48" s="8">
        <v>1</v>
      </c>
    </row>
    <row r="49" spans="1:2">
      <c r="A49" s="7" t="s">
        <v>376</v>
      </c>
      <c r="B49" s="8">
        <v>1</v>
      </c>
    </row>
    <row r="50" spans="1:2">
      <c r="A50" s="7" t="s">
        <v>169</v>
      </c>
      <c r="B50" s="8">
        <v>1</v>
      </c>
    </row>
    <row r="51" spans="1:2">
      <c r="A51" s="7" t="s">
        <v>374</v>
      </c>
      <c r="B51" s="8">
        <v>1</v>
      </c>
    </row>
    <row r="52" spans="1:2">
      <c r="A52" s="7" t="s">
        <v>584</v>
      </c>
      <c r="B52" s="8"/>
    </row>
    <row r="53" spans="1:2">
      <c r="A53" s="7" t="s">
        <v>585</v>
      </c>
      <c r="B53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baseColWidth="10" defaultRowHeight="14" x14ac:dyDescent="0"/>
  <cols>
    <col min="1" max="1" width="32.5" bestFit="1" customWidth="1"/>
    <col min="2" max="2" width="4.83203125" bestFit="1" customWidth="1"/>
  </cols>
  <sheetData>
    <row r="3" spans="1:2">
      <c r="A3" s="6" t="s">
        <v>586</v>
      </c>
    </row>
    <row r="4" spans="1:2">
      <c r="A4" s="6" t="s">
        <v>583</v>
      </c>
      <c r="B4" t="s">
        <v>587</v>
      </c>
    </row>
    <row r="5" spans="1:2">
      <c r="A5" s="7" t="s">
        <v>23</v>
      </c>
      <c r="B5" s="8">
        <v>2</v>
      </c>
    </row>
    <row r="6" spans="1:2">
      <c r="A6" s="7" t="s">
        <v>415</v>
      </c>
      <c r="B6" s="8">
        <v>1</v>
      </c>
    </row>
    <row r="7" spans="1:2">
      <c r="A7" s="7" t="s">
        <v>266</v>
      </c>
      <c r="B7" s="8">
        <v>1</v>
      </c>
    </row>
    <row r="8" spans="1:2">
      <c r="A8" s="7" t="s">
        <v>165</v>
      </c>
      <c r="B8" s="8">
        <v>1</v>
      </c>
    </row>
    <row r="9" spans="1:2">
      <c r="A9" s="7" t="s">
        <v>187</v>
      </c>
      <c r="B9" s="8">
        <v>1</v>
      </c>
    </row>
    <row r="10" spans="1:2">
      <c r="A10" s="7" t="s">
        <v>402</v>
      </c>
      <c r="B10" s="8">
        <v>1</v>
      </c>
    </row>
    <row r="11" spans="1:2">
      <c r="A11" s="7" t="s">
        <v>427</v>
      </c>
      <c r="B11" s="8">
        <v>1</v>
      </c>
    </row>
    <row r="12" spans="1:2">
      <c r="A12" s="7" t="s">
        <v>433</v>
      </c>
      <c r="B12" s="8">
        <v>1</v>
      </c>
    </row>
    <row r="13" spans="1:2">
      <c r="A13" s="7" t="s">
        <v>315</v>
      </c>
      <c r="B13" s="8">
        <v>1</v>
      </c>
    </row>
    <row r="14" spans="1:2">
      <c r="A14" s="7" t="s">
        <v>454</v>
      </c>
      <c r="B14" s="8">
        <v>1</v>
      </c>
    </row>
    <row r="15" spans="1:2">
      <c r="A15" s="7" t="s">
        <v>450</v>
      </c>
      <c r="B15" s="8">
        <v>1</v>
      </c>
    </row>
    <row r="16" spans="1:2">
      <c r="A16" s="7" t="s">
        <v>547</v>
      </c>
      <c r="B16" s="8">
        <v>1</v>
      </c>
    </row>
    <row r="17" spans="1:2">
      <c r="A17" s="7" t="s">
        <v>526</v>
      </c>
      <c r="B17" s="8">
        <v>1</v>
      </c>
    </row>
    <row r="18" spans="1:2">
      <c r="A18" s="7" t="s">
        <v>318</v>
      </c>
      <c r="B18" s="8">
        <v>2</v>
      </c>
    </row>
    <row r="19" spans="1:2">
      <c r="A19" s="7" t="s">
        <v>355</v>
      </c>
      <c r="B19" s="8">
        <v>1</v>
      </c>
    </row>
    <row r="20" spans="1:2">
      <c r="A20" s="7" t="s">
        <v>546</v>
      </c>
      <c r="B20" s="8">
        <v>1</v>
      </c>
    </row>
    <row r="21" spans="1:2">
      <c r="A21" s="7" t="s">
        <v>227</v>
      </c>
      <c r="B21" s="8">
        <v>2</v>
      </c>
    </row>
    <row r="22" spans="1:2">
      <c r="A22" s="7" t="s">
        <v>445</v>
      </c>
      <c r="B22" s="8">
        <v>1</v>
      </c>
    </row>
    <row r="23" spans="1:2">
      <c r="A23" s="7" t="s">
        <v>464</v>
      </c>
      <c r="B23" s="8">
        <v>1</v>
      </c>
    </row>
    <row r="24" spans="1:2">
      <c r="A24" s="7" t="s">
        <v>434</v>
      </c>
      <c r="B24" s="8">
        <v>1</v>
      </c>
    </row>
    <row r="25" spans="1:2">
      <c r="A25" s="7" t="s">
        <v>367</v>
      </c>
      <c r="B25" s="8">
        <v>1</v>
      </c>
    </row>
    <row r="26" spans="1:2">
      <c r="A26" s="7" t="s">
        <v>419</v>
      </c>
      <c r="B26" s="8">
        <v>1</v>
      </c>
    </row>
    <row r="27" spans="1:2">
      <c r="A27" s="7" t="s">
        <v>177</v>
      </c>
      <c r="B27" s="8">
        <v>1</v>
      </c>
    </row>
    <row r="28" spans="1:2">
      <c r="A28" s="7" t="s">
        <v>306</v>
      </c>
      <c r="B28" s="8">
        <v>1</v>
      </c>
    </row>
    <row r="29" spans="1:2">
      <c r="A29" s="7" t="s">
        <v>479</v>
      </c>
      <c r="B29" s="8">
        <v>1</v>
      </c>
    </row>
    <row r="30" spans="1:2">
      <c r="A30" s="7" t="s">
        <v>429</v>
      </c>
      <c r="B30" s="8">
        <v>1</v>
      </c>
    </row>
    <row r="31" spans="1:2">
      <c r="A31" s="7" t="s">
        <v>455</v>
      </c>
      <c r="B31" s="8">
        <v>1</v>
      </c>
    </row>
    <row r="32" spans="1:2">
      <c r="A32" s="7" t="s">
        <v>487</v>
      </c>
      <c r="B32" s="8">
        <v>1</v>
      </c>
    </row>
    <row r="33" spans="1:2">
      <c r="A33" s="7" t="s">
        <v>22</v>
      </c>
      <c r="B33" s="8">
        <v>1</v>
      </c>
    </row>
    <row r="34" spans="1:2">
      <c r="A34" s="7" t="s">
        <v>545</v>
      </c>
      <c r="B34" s="8">
        <v>1</v>
      </c>
    </row>
    <row r="35" spans="1:2">
      <c r="A35" s="7" t="s">
        <v>582</v>
      </c>
      <c r="B35" s="8">
        <v>1</v>
      </c>
    </row>
    <row r="36" spans="1:2">
      <c r="A36" s="7" t="s">
        <v>233</v>
      </c>
      <c r="B36" s="8">
        <v>1</v>
      </c>
    </row>
    <row r="37" spans="1:2">
      <c r="A37" s="7" t="s">
        <v>168</v>
      </c>
      <c r="B37" s="8">
        <v>1</v>
      </c>
    </row>
    <row r="38" spans="1:2">
      <c r="A38" s="7" t="s">
        <v>408</v>
      </c>
      <c r="B38" s="8">
        <v>1</v>
      </c>
    </row>
    <row r="39" spans="1:2">
      <c r="A39" s="7" t="s">
        <v>552</v>
      </c>
      <c r="B39" s="8">
        <v>1</v>
      </c>
    </row>
    <row r="40" spans="1:2">
      <c r="A40" s="7" t="s">
        <v>473</v>
      </c>
      <c r="B40" s="8">
        <v>2</v>
      </c>
    </row>
    <row r="41" spans="1:2">
      <c r="A41" s="7" t="s">
        <v>518</v>
      </c>
      <c r="B41" s="8">
        <v>1</v>
      </c>
    </row>
    <row r="42" spans="1:2">
      <c r="A42" s="7" t="s">
        <v>474</v>
      </c>
      <c r="B42" s="8">
        <v>1</v>
      </c>
    </row>
    <row r="43" spans="1:2">
      <c r="A43" s="7" t="s">
        <v>541</v>
      </c>
      <c r="B43" s="8">
        <v>1</v>
      </c>
    </row>
    <row r="44" spans="1:2">
      <c r="A44" s="7" t="s">
        <v>395</v>
      </c>
      <c r="B44" s="8">
        <v>1</v>
      </c>
    </row>
    <row r="45" spans="1:2">
      <c r="A45" s="7" t="s">
        <v>260</v>
      </c>
      <c r="B45" s="8">
        <v>2</v>
      </c>
    </row>
    <row r="46" spans="1:2">
      <c r="A46" s="7" t="s">
        <v>264</v>
      </c>
      <c r="B46" s="8">
        <v>1</v>
      </c>
    </row>
    <row r="47" spans="1:2">
      <c r="A47" s="7" t="s">
        <v>503</v>
      </c>
      <c r="B47" s="8">
        <v>1</v>
      </c>
    </row>
    <row r="48" spans="1:2">
      <c r="A48" s="7" t="s">
        <v>350</v>
      </c>
      <c r="B48" s="8">
        <v>1</v>
      </c>
    </row>
    <row r="49" spans="1:2">
      <c r="A49" s="7" t="s">
        <v>578</v>
      </c>
      <c r="B49" s="8">
        <v>1</v>
      </c>
    </row>
    <row r="50" spans="1:2">
      <c r="A50" s="7" t="s">
        <v>584</v>
      </c>
      <c r="B50" s="8"/>
    </row>
    <row r="51" spans="1:2">
      <c r="A51" s="7" t="s">
        <v>585</v>
      </c>
      <c r="B51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topLeftCell="B1" workbookViewId="0">
      <selection activeCell="G3" sqref="G3"/>
    </sheetView>
  </sheetViews>
  <sheetFormatPr baseColWidth="10" defaultRowHeight="14" x14ac:dyDescent="0"/>
  <cols>
    <col min="1" max="1" width="24.1640625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bestFit="1" customWidth="1"/>
    <col min="7" max="7" width="10.5" bestFit="1" customWidth="1"/>
    <col min="8" max="9" width="10.5" customWidth="1"/>
    <col min="10" max="10" width="23.6640625" bestFit="1" customWidth="1"/>
    <col min="11" max="11" width="25.5" bestFit="1" customWidth="1"/>
    <col min="12" max="12" width="23.6640625" bestFit="1" customWidth="1"/>
    <col min="13" max="13" width="25.5" bestFit="1" customWidth="1"/>
    <col min="14" max="14" width="23.6640625" bestFit="1" customWidth="1"/>
    <col min="15" max="15" width="25.5" bestFit="1" customWidth="1"/>
    <col min="16" max="16" width="27.6640625" bestFit="1" customWidth="1"/>
    <col min="17" max="17" width="29.5" bestFit="1" customWidth="1"/>
  </cols>
  <sheetData>
    <row r="3" spans="1:7">
      <c r="A3" s="6" t="s">
        <v>615</v>
      </c>
      <c r="B3" s="6" t="s">
        <v>588</v>
      </c>
    </row>
    <row r="4" spans="1:7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585</v>
      </c>
    </row>
    <row r="5" spans="1:7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>
        <v>25</v>
      </c>
    </row>
    <row r="6" spans="1:7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>
        <v>25</v>
      </c>
    </row>
    <row r="7" spans="1:7">
      <c r="A7" s="7" t="s">
        <v>585</v>
      </c>
      <c r="B7" s="8">
        <v>19</v>
      </c>
      <c r="C7" s="8">
        <v>4</v>
      </c>
      <c r="D7" s="8">
        <v>6</v>
      </c>
      <c r="E7" s="8">
        <v>13</v>
      </c>
      <c r="F7" s="8">
        <v>8</v>
      </c>
      <c r="G7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8"/>
  <sheetViews>
    <sheetView workbookViewId="0">
      <selection activeCell="F6" sqref="F6"/>
    </sheetView>
  </sheetViews>
  <sheetFormatPr baseColWidth="10" defaultRowHeight="14" x14ac:dyDescent="0"/>
  <cols>
    <col min="1" max="1" width="24.1640625" bestFit="1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bestFit="1" customWidth="1"/>
    <col min="7" max="7" width="6.6640625" bestFit="1" customWidth="1"/>
    <col min="8" max="8" width="10.5" bestFit="1" customWidth="1"/>
    <col min="9" max="9" width="10.5" customWidth="1"/>
  </cols>
  <sheetData>
    <row r="3" spans="1:8">
      <c r="A3" s="6" t="s">
        <v>615</v>
      </c>
      <c r="B3" s="6" t="s">
        <v>588</v>
      </c>
    </row>
    <row r="4" spans="1:8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584</v>
      </c>
      <c r="H4" t="s">
        <v>585</v>
      </c>
    </row>
    <row r="5" spans="1:8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/>
      <c r="H5" s="8">
        <v>25</v>
      </c>
    </row>
    <row r="6" spans="1:8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/>
      <c r="H6" s="8">
        <v>25</v>
      </c>
    </row>
    <row r="7" spans="1:8">
      <c r="A7" s="7" t="s">
        <v>584</v>
      </c>
      <c r="B7" s="8"/>
      <c r="C7" s="8"/>
      <c r="D7" s="8"/>
      <c r="E7" s="8"/>
      <c r="F7" s="8"/>
      <c r="G7" s="8"/>
      <c r="H7" s="8"/>
    </row>
    <row r="8" spans="1:8">
      <c r="A8" s="7" t="s">
        <v>585</v>
      </c>
      <c r="B8" s="8">
        <v>19</v>
      </c>
      <c r="C8" s="8">
        <v>4</v>
      </c>
      <c r="D8" s="8">
        <v>6</v>
      </c>
      <c r="E8" s="8">
        <v>13</v>
      </c>
      <c r="F8" s="8">
        <v>8</v>
      </c>
      <c r="G8" s="8"/>
      <c r="H8" s="8">
        <v>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1"/>
  <sheetViews>
    <sheetView topLeftCell="C1" workbookViewId="0">
      <selection activeCell="K1" sqref="K1:T1048576"/>
    </sheetView>
  </sheetViews>
  <sheetFormatPr baseColWidth="10" defaultRowHeight="14" x14ac:dyDescent="0"/>
  <sheetData>
    <row r="1" spans="1:25">
      <c r="A1" t="s">
        <v>0</v>
      </c>
      <c r="B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589</v>
      </c>
      <c r="U1" s="2" t="s">
        <v>592</v>
      </c>
      <c r="V1" s="2" t="s">
        <v>595</v>
      </c>
      <c r="W1" s="2" t="s">
        <v>600</v>
      </c>
      <c r="X1" s="2" t="s">
        <v>604</v>
      </c>
      <c r="Y1" s="2" t="s">
        <v>605</v>
      </c>
    </row>
    <row r="2" spans="1:25">
      <c r="A2" t="s">
        <v>181</v>
      </c>
      <c r="B2" t="s">
        <v>39</v>
      </c>
      <c r="C2" s="1" t="s">
        <v>182</v>
      </c>
      <c r="D2" s="4" t="s">
        <v>40</v>
      </c>
      <c r="E2" s="2" t="s">
        <v>72</v>
      </c>
      <c r="F2" s="2" t="s">
        <v>183</v>
      </c>
      <c r="G2" s="3" t="s">
        <v>178</v>
      </c>
      <c r="H2" s="3" t="s">
        <v>179</v>
      </c>
      <c r="I2" s="3" t="s">
        <v>23</v>
      </c>
      <c r="J2" s="3" t="s">
        <v>180</v>
      </c>
      <c r="K2" s="3" t="s">
        <v>36</v>
      </c>
      <c r="L2" s="3" t="s">
        <v>49</v>
      </c>
      <c r="M2" s="3" t="s">
        <v>50</v>
      </c>
      <c r="N2" s="3" t="s">
        <v>23</v>
      </c>
      <c r="O2" s="3" t="s">
        <v>160</v>
      </c>
      <c r="P2" s="3" t="s">
        <v>36</v>
      </c>
      <c r="Q2" s="3" t="s">
        <v>38</v>
      </c>
      <c r="R2" s="3" t="s">
        <v>86</v>
      </c>
      <c r="S2" s="5" t="s">
        <v>184</v>
      </c>
      <c r="T2" s="3" t="s">
        <v>590</v>
      </c>
      <c r="U2" s="3" t="s">
        <v>593</v>
      </c>
      <c r="V2" s="3" t="s">
        <v>598</v>
      </c>
      <c r="W2" s="3" t="s">
        <v>601</v>
      </c>
      <c r="X2" s="3" t="s">
        <v>601</v>
      </c>
      <c r="Y2" s="3" t="s">
        <v>606</v>
      </c>
    </row>
    <row r="3" spans="1:25">
      <c r="A3" t="s">
        <v>335</v>
      </c>
      <c r="B3" t="s">
        <v>46</v>
      </c>
      <c r="C3" s="1" t="s">
        <v>336</v>
      </c>
      <c r="D3" s="4" t="s">
        <v>47</v>
      </c>
      <c r="E3" s="2" t="s">
        <v>21</v>
      </c>
      <c r="F3" s="2" t="s">
        <v>337</v>
      </c>
      <c r="G3" s="3" t="s">
        <v>330</v>
      </c>
      <c r="H3" s="3" t="s">
        <v>331</v>
      </c>
      <c r="I3" s="3" t="s">
        <v>317</v>
      </c>
      <c r="J3" s="3" t="s">
        <v>332</v>
      </c>
      <c r="K3" s="3" t="s">
        <v>333</v>
      </c>
      <c r="L3" s="3" t="s">
        <v>97</v>
      </c>
      <c r="M3" s="3" t="s">
        <v>120</v>
      </c>
      <c r="N3" s="3" t="s">
        <v>23</v>
      </c>
      <c r="O3" s="3" t="s">
        <v>334</v>
      </c>
      <c r="P3" s="3" t="s">
        <v>193</v>
      </c>
      <c r="Q3" s="3" t="s">
        <v>54</v>
      </c>
      <c r="R3" s="3" t="s">
        <v>86</v>
      </c>
      <c r="S3" s="5" t="s">
        <v>338</v>
      </c>
      <c r="T3" s="3" t="s">
        <v>590</v>
      </c>
      <c r="U3" s="3" t="s">
        <v>593</v>
      </c>
      <c r="V3" s="3" t="s">
        <v>596</v>
      </c>
      <c r="W3" s="3" t="s">
        <v>603</v>
      </c>
      <c r="X3" s="3" t="s">
        <v>607</v>
      </c>
      <c r="Y3" s="3" t="s">
        <v>608</v>
      </c>
    </row>
    <row r="4" spans="1:25">
      <c r="A4" t="s">
        <v>224</v>
      </c>
      <c r="B4" t="s">
        <v>39</v>
      </c>
      <c r="C4" s="1" t="s">
        <v>225</v>
      </c>
      <c r="D4" s="4" t="s">
        <v>40</v>
      </c>
      <c r="E4" s="2" t="s">
        <v>21</v>
      </c>
      <c r="F4" s="2" t="s">
        <v>143</v>
      </c>
      <c r="G4" s="3" t="s">
        <v>226</v>
      </c>
      <c r="H4" s="3" t="s">
        <v>227</v>
      </c>
      <c r="I4" s="3" t="s">
        <v>213</v>
      </c>
      <c r="J4" s="3" t="s">
        <v>228</v>
      </c>
      <c r="K4" s="3" t="s">
        <v>67</v>
      </c>
      <c r="L4" s="3" t="s">
        <v>49</v>
      </c>
      <c r="M4" s="3" t="s">
        <v>50</v>
      </c>
      <c r="N4" s="3" t="s">
        <v>23</v>
      </c>
      <c r="O4" s="3" t="s">
        <v>229</v>
      </c>
      <c r="P4" s="3" t="s">
        <v>67</v>
      </c>
      <c r="Q4" s="3" t="s">
        <v>54</v>
      </c>
      <c r="R4" s="3" t="s">
        <v>86</v>
      </c>
      <c r="S4" s="5" t="s">
        <v>230</v>
      </c>
      <c r="T4" s="3" t="s">
        <v>590</v>
      </c>
      <c r="U4" s="3" t="s">
        <v>593</v>
      </c>
      <c r="V4" s="3" t="s">
        <v>598</v>
      </c>
      <c r="W4" s="3" t="s">
        <v>601</v>
      </c>
      <c r="X4" s="3" t="s">
        <v>609</v>
      </c>
      <c r="Y4" s="3" t="s">
        <v>609</v>
      </c>
    </row>
    <row r="5" spans="1:25">
      <c r="A5" t="s">
        <v>273</v>
      </c>
      <c r="B5" t="s">
        <v>39</v>
      </c>
      <c r="C5" s="1" t="s">
        <v>274</v>
      </c>
      <c r="D5" s="4" t="s">
        <v>40</v>
      </c>
      <c r="E5" s="2" t="s">
        <v>45</v>
      </c>
      <c r="F5" s="2" t="s">
        <v>275</v>
      </c>
      <c r="G5" s="3" t="s">
        <v>268</v>
      </c>
      <c r="H5" s="3" t="s">
        <v>269</v>
      </c>
      <c r="I5" s="3" t="s">
        <v>42</v>
      </c>
      <c r="J5" s="3" t="s">
        <v>270</v>
      </c>
      <c r="K5" s="3" t="s">
        <v>271</v>
      </c>
      <c r="L5" s="3" t="s">
        <v>49</v>
      </c>
      <c r="M5" s="3" t="s">
        <v>50</v>
      </c>
      <c r="N5" s="3" t="s">
        <v>23</v>
      </c>
      <c r="O5" s="3" t="s">
        <v>272</v>
      </c>
      <c r="P5" s="3" t="s">
        <v>36</v>
      </c>
      <c r="Q5" s="3" t="s">
        <v>54</v>
      </c>
      <c r="R5" s="3" t="s">
        <v>86</v>
      </c>
      <c r="S5" s="5" t="s">
        <v>276</v>
      </c>
      <c r="T5" s="3" t="s">
        <v>590</v>
      </c>
      <c r="U5" s="3" t="s">
        <v>593</v>
      </c>
      <c r="V5" s="3" t="s">
        <v>598</v>
      </c>
      <c r="W5" s="3" t="s">
        <v>601</v>
      </c>
      <c r="X5" s="3" t="s">
        <v>609</v>
      </c>
      <c r="Y5" s="3" t="s">
        <v>606</v>
      </c>
    </row>
    <row r="6" spans="1:25">
      <c r="A6" t="s">
        <v>94</v>
      </c>
      <c r="B6" t="s">
        <v>19</v>
      </c>
      <c r="C6" s="1" t="s">
        <v>95</v>
      </c>
      <c r="D6" s="4" t="s">
        <v>20</v>
      </c>
      <c r="E6" s="2" t="s">
        <v>45</v>
      </c>
      <c r="F6" s="2" t="s">
        <v>170</v>
      </c>
      <c r="G6" s="3" t="s">
        <v>171</v>
      </c>
      <c r="H6" s="3" t="s">
        <v>172</v>
      </c>
      <c r="I6" s="3" t="s">
        <v>70</v>
      </c>
      <c r="J6" s="3" t="s">
        <v>173</v>
      </c>
      <c r="K6" s="3" t="s">
        <v>36</v>
      </c>
      <c r="L6" s="3" t="s">
        <v>97</v>
      </c>
      <c r="M6" s="3" t="s">
        <v>140</v>
      </c>
      <c r="N6" s="3" t="s">
        <v>162</v>
      </c>
      <c r="O6" s="3" t="s">
        <v>174</v>
      </c>
      <c r="P6" s="3" t="s">
        <v>36</v>
      </c>
      <c r="Q6" s="3" t="s">
        <v>54</v>
      </c>
      <c r="R6" s="3" t="s">
        <v>86</v>
      </c>
      <c r="S6" s="5" t="s">
        <v>175</v>
      </c>
      <c r="T6" s="3" t="s">
        <v>590</v>
      </c>
      <c r="U6" s="3" t="s">
        <v>594</v>
      </c>
      <c r="V6" s="3" t="s">
        <v>597</v>
      </c>
      <c r="W6" s="3" t="s">
        <v>602</v>
      </c>
      <c r="X6" s="3" t="s">
        <v>609</v>
      </c>
      <c r="Y6" s="3" t="s">
        <v>606</v>
      </c>
    </row>
    <row r="7" spans="1:25">
      <c r="A7" t="s">
        <v>252</v>
      </c>
      <c r="B7" t="s">
        <v>19</v>
      </c>
      <c r="C7" s="1" t="s">
        <v>253</v>
      </c>
      <c r="D7" s="4" t="s">
        <v>20</v>
      </c>
      <c r="E7" s="2" t="s">
        <v>21</v>
      </c>
      <c r="F7" s="2" t="s">
        <v>254</v>
      </c>
      <c r="G7" s="3" t="s">
        <v>255</v>
      </c>
      <c r="H7" s="3" t="s">
        <v>202</v>
      </c>
      <c r="I7" s="3" t="s">
        <v>119</v>
      </c>
      <c r="J7" s="3" t="s">
        <v>256</v>
      </c>
      <c r="K7" s="3" t="s">
        <v>48</v>
      </c>
      <c r="L7" s="3" t="s">
        <v>147</v>
      </c>
      <c r="M7" s="3" t="s">
        <v>140</v>
      </c>
      <c r="N7" s="3" t="s">
        <v>257</v>
      </c>
      <c r="O7" s="3" t="s">
        <v>258</v>
      </c>
      <c r="P7" s="3" t="s">
        <v>48</v>
      </c>
      <c r="Q7" s="3" t="s">
        <v>54</v>
      </c>
      <c r="R7" s="3" t="s">
        <v>86</v>
      </c>
      <c r="S7" s="5" t="s">
        <v>259</v>
      </c>
      <c r="T7" s="3" t="s">
        <v>590</v>
      </c>
      <c r="U7" s="3" t="s">
        <v>594</v>
      </c>
      <c r="V7" s="3" t="s">
        <v>597</v>
      </c>
      <c r="W7" s="3" t="s">
        <v>602</v>
      </c>
      <c r="X7" s="3" t="s">
        <v>609</v>
      </c>
      <c r="Y7" s="3" t="s">
        <v>609</v>
      </c>
    </row>
    <row r="8" spans="1:25">
      <c r="A8" t="s">
        <v>285</v>
      </c>
      <c r="B8" t="s">
        <v>52</v>
      </c>
      <c r="C8" s="1" t="s">
        <v>286</v>
      </c>
      <c r="D8" s="4" t="s">
        <v>53</v>
      </c>
      <c r="E8" s="2" t="s">
        <v>45</v>
      </c>
      <c r="F8" s="2" t="s">
        <v>287</v>
      </c>
      <c r="G8" s="3" t="s">
        <v>279</v>
      </c>
      <c r="H8" s="3" t="s">
        <v>280</v>
      </c>
      <c r="I8" s="3" t="s">
        <v>281</v>
      </c>
      <c r="J8" s="3" t="s">
        <v>282</v>
      </c>
      <c r="K8" s="3" t="s">
        <v>283</v>
      </c>
      <c r="L8" s="3" t="s">
        <v>97</v>
      </c>
      <c r="M8" s="3" t="s">
        <v>120</v>
      </c>
      <c r="N8" s="3" t="s">
        <v>23</v>
      </c>
      <c r="O8" s="3" t="s">
        <v>284</v>
      </c>
      <c r="P8" s="3" t="s">
        <v>36</v>
      </c>
      <c r="Q8" s="3" t="s">
        <v>54</v>
      </c>
      <c r="R8" s="3" t="s">
        <v>86</v>
      </c>
      <c r="S8" s="5" t="s">
        <v>288</v>
      </c>
      <c r="T8" s="3" t="s">
        <v>590</v>
      </c>
      <c r="U8" s="3" t="s">
        <v>593</v>
      </c>
      <c r="V8" s="3" t="s">
        <v>598</v>
      </c>
      <c r="W8" s="3" t="s">
        <v>601</v>
      </c>
      <c r="X8" s="3" t="s">
        <v>606</v>
      </c>
      <c r="Y8" s="3" t="s">
        <v>606</v>
      </c>
    </row>
    <row r="9" spans="1:25">
      <c r="A9" t="s">
        <v>214</v>
      </c>
      <c r="B9" t="s">
        <v>46</v>
      </c>
      <c r="C9" s="1" t="s">
        <v>215</v>
      </c>
      <c r="D9" s="4" t="s">
        <v>47</v>
      </c>
      <c r="E9" s="2" t="s">
        <v>21</v>
      </c>
      <c r="F9" s="2" t="s">
        <v>216</v>
      </c>
      <c r="G9" s="3" t="s">
        <v>217</v>
      </c>
      <c r="H9" s="3" t="s">
        <v>218</v>
      </c>
      <c r="I9" s="3" t="s">
        <v>141</v>
      </c>
      <c r="J9" s="3" t="s">
        <v>219</v>
      </c>
      <c r="K9" s="3" t="s">
        <v>41</v>
      </c>
      <c r="L9" s="3" t="s">
        <v>97</v>
      </c>
      <c r="M9" s="3" t="s">
        <v>31</v>
      </c>
      <c r="N9" s="3" t="s">
        <v>43</v>
      </c>
      <c r="O9" s="3" t="s">
        <v>44</v>
      </c>
      <c r="P9" s="3" t="s">
        <v>41</v>
      </c>
      <c r="Q9" s="3" t="s">
        <v>38</v>
      </c>
      <c r="R9" s="3" t="s">
        <v>86</v>
      </c>
      <c r="S9" s="5" t="s">
        <v>220</v>
      </c>
      <c r="T9" s="3" t="s">
        <v>590</v>
      </c>
      <c r="U9" s="3" t="s">
        <v>593</v>
      </c>
      <c r="V9" s="3" t="s">
        <v>596</v>
      </c>
      <c r="W9" s="3" t="s">
        <v>603</v>
      </c>
      <c r="X9" s="3" t="s">
        <v>609</v>
      </c>
      <c r="Y9" s="3" t="s">
        <v>609</v>
      </c>
    </row>
    <row r="10" spans="1:25">
      <c r="A10" t="s">
        <v>73</v>
      </c>
      <c r="B10" t="s">
        <v>39</v>
      </c>
      <c r="C10" s="1" t="s">
        <v>74</v>
      </c>
      <c r="D10" s="4" t="s">
        <v>40</v>
      </c>
      <c r="E10" s="2" t="s">
        <v>21</v>
      </c>
      <c r="F10" s="2" t="s">
        <v>75</v>
      </c>
      <c r="G10" s="3" t="s">
        <v>76</v>
      </c>
      <c r="H10" s="3" t="s">
        <v>68</v>
      </c>
      <c r="I10" s="3" t="s">
        <v>69</v>
      </c>
      <c r="J10" s="3" t="s">
        <v>77</v>
      </c>
      <c r="K10" s="3" t="s">
        <v>70</v>
      </c>
      <c r="L10" s="3" t="s">
        <v>49</v>
      </c>
      <c r="M10" s="3" t="s">
        <v>50</v>
      </c>
      <c r="N10" s="3" t="s">
        <v>23</v>
      </c>
      <c r="O10" s="3" t="s">
        <v>71</v>
      </c>
      <c r="P10" s="3" t="s">
        <v>64</v>
      </c>
      <c r="Q10" s="3" t="s">
        <v>54</v>
      </c>
      <c r="R10" s="3" t="s">
        <v>26</v>
      </c>
      <c r="S10" s="5" t="s">
        <v>78</v>
      </c>
      <c r="T10" s="3" t="s">
        <v>590</v>
      </c>
      <c r="U10" s="3" t="s">
        <v>593</v>
      </c>
      <c r="V10" s="3" t="s">
        <v>598</v>
      </c>
      <c r="W10" s="3" t="s">
        <v>601</v>
      </c>
      <c r="X10" s="3" t="s">
        <v>610</v>
      </c>
      <c r="Y10" s="3" t="s">
        <v>610</v>
      </c>
    </row>
    <row r="11" spans="1:25">
      <c r="A11" t="s">
        <v>323</v>
      </c>
      <c r="B11" t="s">
        <v>46</v>
      </c>
      <c r="C11" s="1" t="s">
        <v>324</v>
      </c>
      <c r="D11" s="4" t="s">
        <v>47</v>
      </c>
      <c r="E11" s="2" t="s">
        <v>65</v>
      </c>
      <c r="F11" s="2" t="s">
        <v>325</v>
      </c>
      <c r="G11" s="3" t="s">
        <v>319</v>
      </c>
      <c r="H11" s="3" t="s">
        <v>320</v>
      </c>
      <c r="I11" s="3" t="s">
        <v>58</v>
      </c>
      <c r="J11" s="3" t="s">
        <v>321</v>
      </c>
      <c r="K11" s="3" t="s">
        <v>63</v>
      </c>
      <c r="L11" s="3" t="s">
        <v>49</v>
      </c>
      <c r="M11" s="3" t="s">
        <v>61</v>
      </c>
      <c r="N11" s="3" t="s">
        <v>23</v>
      </c>
      <c r="O11" s="3" t="s">
        <v>322</v>
      </c>
      <c r="P11" s="3" t="s">
        <v>62</v>
      </c>
      <c r="Q11" s="3" t="s">
        <v>54</v>
      </c>
      <c r="R11" s="3" t="s">
        <v>86</v>
      </c>
      <c r="S11" s="5" t="s">
        <v>326</v>
      </c>
      <c r="T11" s="3" t="s">
        <v>590</v>
      </c>
      <c r="U11" s="3" t="s">
        <v>593</v>
      </c>
      <c r="V11" s="3" t="s">
        <v>596</v>
      </c>
      <c r="W11" s="3" t="s">
        <v>603</v>
      </c>
      <c r="X11" s="3" t="s">
        <v>606</v>
      </c>
      <c r="Y11" s="3" t="s">
        <v>606</v>
      </c>
    </row>
    <row r="12" spans="1:25">
      <c r="A12" t="s">
        <v>87</v>
      </c>
      <c r="B12" t="s">
        <v>39</v>
      </c>
      <c r="C12" s="1" t="s">
        <v>88</v>
      </c>
      <c r="D12" s="4" t="s">
        <v>40</v>
      </c>
      <c r="E12" s="2" t="s">
        <v>60</v>
      </c>
      <c r="F12" s="2" t="s">
        <v>23</v>
      </c>
      <c r="G12" s="3" t="s">
        <v>81</v>
      </c>
      <c r="H12" s="3" t="s">
        <v>82</v>
      </c>
      <c r="I12" s="3" t="s">
        <v>23</v>
      </c>
      <c r="J12" s="3" t="s">
        <v>83</v>
      </c>
      <c r="K12" s="3" t="s">
        <v>84</v>
      </c>
      <c r="L12" s="3" t="s">
        <v>49</v>
      </c>
      <c r="M12" s="3" t="s">
        <v>50</v>
      </c>
      <c r="N12" s="3" t="s">
        <v>23</v>
      </c>
      <c r="O12" s="3" t="s">
        <v>85</v>
      </c>
      <c r="P12" s="3" t="s">
        <v>84</v>
      </c>
      <c r="Q12" s="3" t="s">
        <v>54</v>
      </c>
      <c r="R12" s="3" t="s">
        <v>86</v>
      </c>
      <c r="S12" s="5" t="s">
        <v>89</v>
      </c>
      <c r="T12" s="3" t="s">
        <v>590</v>
      </c>
      <c r="U12" s="3" t="s">
        <v>593</v>
      </c>
      <c r="V12" s="3" t="s">
        <v>598</v>
      </c>
      <c r="W12" s="3" t="s">
        <v>602</v>
      </c>
      <c r="X12" s="3" t="s">
        <v>610</v>
      </c>
      <c r="Y12" s="3" t="s">
        <v>602</v>
      </c>
    </row>
    <row r="13" spans="1:25">
      <c r="A13" t="s">
        <v>358</v>
      </c>
      <c r="B13" t="s">
        <v>113</v>
      </c>
      <c r="C13" s="1" t="s">
        <v>359</v>
      </c>
      <c r="D13" s="4" t="s">
        <v>114</v>
      </c>
      <c r="E13" s="2" t="s">
        <v>21</v>
      </c>
      <c r="F13" s="2" t="s">
        <v>360</v>
      </c>
      <c r="G13" s="3" t="s">
        <v>361</v>
      </c>
      <c r="H13" s="3" t="s">
        <v>362</v>
      </c>
      <c r="I13" s="3" t="s">
        <v>354</v>
      </c>
      <c r="J13" s="3" t="s">
        <v>363</v>
      </c>
      <c r="K13" s="3" t="s">
        <v>223</v>
      </c>
      <c r="L13" s="3" t="s">
        <v>364</v>
      </c>
      <c r="M13" s="3" t="s">
        <v>50</v>
      </c>
      <c r="N13" s="3" t="s">
        <v>23</v>
      </c>
      <c r="O13" s="3" t="s">
        <v>365</v>
      </c>
      <c r="P13" s="3" t="s">
        <v>29</v>
      </c>
      <c r="Q13" s="3" t="s">
        <v>54</v>
      </c>
      <c r="R13" s="3" t="s">
        <v>86</v>
      </c>
      <c r="S13" s="5" t="s">
        <v>366</v>
      </c>
      <c r="T13" s="3" t="s">
        <v>590</v>
      </c>
      <c r="U13" s="3" t="s">
        <v>594</v>
      </c>
      <c r="V13" s="3" t="s">
        <v>599</v>
      </c>
      <c r="W13" s="3" t="s">
        <v>601</v>
      </c>
      <c r="X13" s="3" t="s">
        <v>609</v>
      </c>
      <c r="Y13" s="3" t="s">
        <v>606</v>
      </c>
    </row>
    <row r="14" spans="1:25">
      <c r="A14" t="s">
        <v>131</v>
      </c>
      <c r="B14" t="s">
        <v>19</v>
      </c>
      <c r="C14" s="1" t="s">
        <v>132</v>
      </c>
      <c r="D14" s="4" t="s">
        <v>20</v>
      </c>
      <c r="E14" s="2" t="s">
        <v>21</v>
      </c>
      <c r="F14" s="2" t="s">
        <v>133</v>
      </c>
      <c r="G14" s="3" t="s">
        <v>134</v>
      </c>
      <c r="H14" s="3" t="s">
        <v>135</v>
      </c>
      <c r="I14" s="3" t="s">
        <v>23</v>
      </c>
      <c r="J14" s="3" t="s">
        <v>136</v>
      </c>
      <c r="K14" s="3" t="s">
        <v>137</v>
      </c>
      <c r="L14" s="3" t="s">
        <v>138</v>
      </c>
      <c r="M14" s="3" t="s">
        <v>31</v>
      </c>
      <c r="N14" s="3" t="s">
        <v>91</v>
      </c>
      <c r="O14" s="3" t="s">
        <v>115</v>
      </c>
      <c r="P14" s="3" t="s">
        <v>137</v>
      </c>
      <c r="Q14" s="3" t="s">
        <v>38</v>
      </c>
      <c r="R14" s="3" t="s">
        <v>86</v>
      </c>
      <c r="S14" s="5" t="s">
        <v>139</v>
      </c>
      <c r="T14" s="3" t="s">
        <v>590</v>
      </c>
      <c r="U14" s="3" t="s">
        <v>594</v>
      </c>
      <c r="V14" s="3" t="s">
        <v>597</v>
      </c>
      <c r="W14" s="3" t="s">
        <v>602</v>
      </c>
      <c r="X14" s="3" t="s">
        <v>609</v>
      </c>
      <c r="Y14" s="3" t="s">
        <v>609</v>
      </c>
    </row>
    <row r="15" spans="1:25">
      <c r="A15" t="s">
        <v>123</v>
      </c>
      <c r="B15" t="s">
        <v>19</v>
      </c>
      <c r="C15" s="1" t="s">
        <v>124</v>
      </c>
      <c r="D15" s="4" t="s">
        <v>20</v>
      </c>
      <c r="E15" s="2" t="s">
        <v>21</v>
      </c>
      <c r="F15" s="2" t="s">
        <v>125</v>
      </c>
      <c r="G15" s="3" t="s">
        <v>126</v>
      </c>
      <c r="H15" s="3" t="s">
        <v>127</v>
      </c>
      <c r="I15" s="3" t="s">
        <v>42</v>
      </c>
      <c r="J15" s="3" t="s">
        <v>128</v>
      </c>
      <c r="K15" s="3" t="s">
        <v>111</v>
      </c>
      <c r="L15" s="3" t="s">
        <v>49</v>
      </c>
      <c r="M15" s="3" t="s">
        <v>50</v>
      </c>
      <c r="N15" s="3" t="s">
        <v>23</v>
      </c>
      <c r="O15" s="3" t="s">
        <v>129</v>
      </c>
      <c r="P15" s="3" t="s">
        <v>111</v>
      </c>
      <c r="Q15" s="3" t="s">
        <v>54</v>
      </c>
      <c r="R15" s="3" t="s">
        <v>86</v>
      </c>
      <c r="S15" s="5" t="s">
        <v>130</v>
      </c>
      <c r="T15" s="3" t="s">
        <v>590</v>
      </c>
      <c r="U15" s="3" t="s">
        <v>594</v>
      </c>
      <c r="V15" s="3" t="s">
        <v>597</v>
      </c>
      <c r="W15" s="3" t="s">
        <v>602</v>
      </c>
      <c r="X15" s="3" t="s">
        <v>601</v>
      </c>
      <c r="Y15" s="3" t="s">
        <v>606</v>
      </c>
    </row>
    <row r="16" spans="1:25">
      <c r="A16" t="s">
        <v>308</v>
      </c>
      <c r="B16" t="s">
        <v>39</v>
      </c>
      <c r="C16" s="1" t="s">
        <v>309</v>
      </c>
      <c r="D16" s="4" t="s">
        <v>40</v>
      </c>
      <c r="E16" s="2" t="s">
        <v>21</v>
      </c>
      <c r="F16" s="2" t="s">
        <v>310</v>
      </c>
      <c r="G16" s="3" t="s">
        <v>311</v>
      </c>
      <c r="H16" s="3" t="s">
        <v>23</v>
      </c>
      <c r="I16" s="3" t="s">
        <v>23</v>
      </c>
      <c r="J16" s="3" t="s">
        <v>312</v>
      </c>
      <c r="K16" s="3" t="s">
        <v>307</v>
      </c>
      <c r="L16" s="3" t="s">
        <v>49</v>
      </c>
      <c r="M16" s="3" t="s">
        <v>191</v>
      </c>
      <c r="N16" s="3" t="s">
        <v>23</v>
      </c>
      <c r="O16" s="3" t="s">
        <v>313</v>
      </c>
      <c r="P16" s="3" t="s">
        <v>307</v>
      </c>
      <c r="Q16" s="3" t="s">
        <v>38</v>
      </c>
      <c r="R16" s="3" t="s">
        <v>86</v>
      </c>
      <c r="S16" s="5" t="s">
        <v>314</v>
      </c>
      <c r="T16" s="3" t="s">
        <v>590</v>
      </c>
      <c r="U16" s="3" t="s">
        <v>593</v>
      </c>
      <c r="V16" s="3" t="s">
        <v>598</v>
      </c>
      <c r="W16" s="3" t="s">
        <v>601</v>
      </c>
      <c r="X16" s="3" t="s">
        <v>607</v>
      </c>
      <c r="Y16" s="3" t="s">
        <v>606</v>
      </c>
    </row>
    <row r="17" spans="1:25">
      <c r="A17" t="s">
        <v>204</v>
      </c>
      <c r="B17" t="s">
        <v>39</v>
      </c>
      <c r="C17" s="1" t="s">
        <v>205</v>
      </c>
      <c r="D17" s="4" t="s">
        <v>40</v>
      </c>
      <c r="E17" s="2" t="s">
        <v>21</v>
      </c>
      <c r="F17" s="2" t="s">
        <v>206</v>
      </c>
      <c r="G17" s="3" t="s">
        <v>207</v>
      </c>
      <c r="H17" s="3" t="s">
        <v>208</v>
      </c>
      <c r="I17" s="3" t="s">
        <v>93</v>
      </c>
      <c r="J17" s="3" t="s">
        <v>209</v>
      </c>
      <c r="K17" s="3" t="s">
        <v>41</v>
      </c>
      <c r="L17" s="3" t="s">
        <v>49</v>
      </c>
      <c r="M17" s="3" t="s">
        <v>50</v>
      </c>
      <c r="N17" s="3" t="s">
        <v>23</v>
      </c>
      <c r="O17" s="3" t="s">
        <v>210</v>
      </c>
      <c r="P17" s="3" t="s">
        <v>41</v>
      </c>
      <c r="Q17" s="3" t="s">
        <v>54</v>
      </c>
      <c r="R17" s="3" t="s">
        <v>86</v>
      </c>
      <c r="S17" s="5" t="s">
        <v>211</v>
      </c>
      <c r="T17" s="3" t="s">
        <v>590</v>
      </c>
      <c r="U17" s="3" t="s">
        <v>593</v>
      </c>
      <c r="V17" s="3" t="s">
        <v>598</v>
      </c>
      <c r="W17" s="3" t="s">
        <v>601</v>
      </c>
      <c r="X17" s="3" t="s">
        <v>607</v>
      </c>
      <c r="Y17" s="3" t="s">
        <v>606</v>
      </c>
    </row>
    <row r="18" spans="1:25">
      <c r="A18" t="s">
        <v>297</v>
      </c>
      <c r="B18" t="s">
        <v>27</v>
      </c>
      <c r="C18" s="1" t="s">
        <v>298</v>
      </c>
      <c r="D18" s="4" t="s">
        <v>28</v>
      </c>
      <c r="E18" s="2" t="s">
        <v>21</v>
      </c>
      <c r="F18" s="2" t="s">
        <v>299</v>
      </c>
      <c r="G18" s="3" t="s">
        <v>300</v>
      </c>
      <c r="H18" s="3" t="s">
        <v>301</v>
      </c>
      <c r="I18" s="3" t="s">
        <v>55</v>
      </c>
      <c r="J18" s="3" t="s">
        <v>302</v>
      </c>
      <c r="K18" s="3" t="s">
        <v>59</v>
      </c>
      <c r="L18" s="3" t="s">
        <v>49</v>
      </c>
      <c r="M18" s="3" t="s">
        <v>61</v>
      </c>
      <c r="N18" s="3" t="s">
        <v>23</v>
      </c>
      <c r="O18" s="3" t="s">
        <v>303</v>
      </c>
      <c r="P18" s="3" t="s">
        <v>59</v>
      </c>
      <c r="Q18" s="3" t="s">
        <v>54</v>
      </c>
      <c r="R18" s="3" t="s">
        <v>86</v>
      </c>
      <c r="S18" s="5" t="s">
        <v>304</v>
      </c>
      <c r="T18" s="3" t="s">
        <v>590</v>
      </c>
      <c r="U18" s="3" t="s">
        <v>593</v>
      </c>
      <c r="V18" s="3" t="s">
        <v>598</v>
      </c>
      <c r="W18" s="3" t="s">
        <v>602</v>
      </c>
      <c r="X18" s="3" t="s">
        <v>607</v>
      </c>
      <c r="Y18" s="3" t="s">
        <v>608</v>
      </c>
    </row>
    <row r="19" spans="1:25">
      <c r="A19" t="s">
        <v>341</v>
      </c>
      <c r="B19" t="s">
        <v>39</v>
      </c>
      <c r="C19" s="1" t="s">
        <v>342</v>
      </c>
      <c r="D19" s="4" t="s">
        <v>40</v>
      </c>
      <c r="E19" s="2" t="s">
        <v>65</v>
      </c>
      <c r="F19" s="2" t="s">
        <v>23</v>
      </c>
      <c r="G19" s="3" t="s">
        <v>343</v>
      </c>
      <c r="H19" s="3" t="s">
        <v>344</v>
      </c>
      <c r="I19" s="3" t="s">
        <v>339</v>
      </c>
      <c r="J19" s="3" t="s">
        <v>345</v>
      </c>
      <c r="K19" s="3" t="s">
        <v>66</v>
      </c>
      <c r="L19" s="3" t="s">
        <v>49</v>
      </c>
      <c r="M19" s="3" t="s">
        <v>37</v>
      </c>
      <c r="N19" s="3" t="s">
        <v>23</v>
      </c>
      <c r="O19" s="3" t="s">
        <v>23</v>
      </c>
      <c r="P19" s="3" t="s">
        <v>23</v>
      </c>
      <c r="Q19" s="3" t="s">
        <v>54</v>
      </c>
      <c r="R19" s="3" t="s">
        <v>86</v>
      </c>
      <c r="S19" s="5" t="s">
        <v>346</v>
      </c>
      <c r="T19" s="3" t="s">
        <v>590</v>
      </c>
      <c r="U19" s="3" t="s">
        <v>593</v>
      </c>
      <c r="V19" s="3" t="s">
        <v>598</v>
      </c>
      <c r="W19" s="3" t="s">
        <v>601</v>
      </c>
      <c r="X19" s="3" t="s">
        <v>607</v>
      </c>
      <c r="Y19" s="3" t="s">
        <v>608</v>
      </c>
    </row>
    <row r="20" spans="1:25">
      <c r="A20" t="s">
        <v>101</v>
      </c>
      <c r="B20" t="s">
        <v>46</v>
      </c>
      <c r="C20" s="1" t="s">
        <v>102</v>
      </c>
      <c r="D20" s="4" t="s">
        <v>47</v>
      </c>
      <c r="E20" s="2" t="s">
        <v>21</v>
      </c>
      <c r="F20" s="2" t="s">
        <v>103</v>
      </c>
      <c r="G20" s="3" t="s">
        <v>104</v>
      </c>
      <c r="H20" s="3" t="s">
        <v>105</v>
      </c>
      <c r="I20" s="3" t="s">
        <v>23</v>
      </c>
      <c r="J20" s="3" t="s">
        <v>106</v>
      </c>
      <c r="K20" s="3" t="s">
        <v>107</v>
      </c>
      <c r="L20" s="3" t="s">
        <v>49</v>
      </c>
      <c r="M20" s="3" t="s">
        <v>61</v>
      </c>
      <c r="N20" s="3" t="s">
        <v>23</v>
      </c>
      <c r="O20" s="3" t="s">
        <v>108</v>
      </c>
      <c r="P20" s="3" t="s">
        <v>107</v>
      </c>
      <c r="Q20" s="3" t="s">
        <v>38</v>
      </c>
      <c r="R20" s="3" t="s">
        <v>86</v>
      </c>
      <c r="S20" s="5" t="s">
        <v>109</v>
      </c>
      <c r="T20" s="3" t="s">
        <v>590</v>
      </c>
      <c r="U20" s="3" t="s">
        <v>593</v>
      </c>
      <c r="V20" s="3" t="s">
        <v>596</v>
      </c>
      <c r="W20" s="3" t="s">
        <v>611</v>
      </c>
      <c r="X20" s="3" t="s">
        <v>606</v>
      </c>
      <c r="Y20" s="3" t="s">
        <v>606</v>
      </c>
    </row>
    <row r="21" spans="1:25">
      <c r="A21" t="s">
        <v>195</v>
      </c>
      <c r="B21" t="s">
        <v>19</v>
      </c>
      <c r="C21" s="1" t="s">
        <v>196</v>
      </c>
      <c r="D21" s="4" t="s">
        <v>20</v>
      </c>
      <c r="E21" s="2" t="s">
        <v>60</v>
      </c>
      <c r="F21" s="2" t="s">
        <v>23</v>
      </c>
      <c r="G21" s="3" t="s">
        <v>197</v>
      </c>
      <c r="H21" s="3" t="s">
        <v>198</v>
      </c>
      <c r="I21" s="3" t="s">
        <v>188</v>
      </c>
      <c r="J21" s="3" t="s">
        <v>199</v>
      </c>
      <c r="K21" s="3" t="s">
        <v>36</v>
      </c>
      <c r="L21" s="3" t="s">
        <v>49</v>
      </c>
      <c r="M21" s="3" t="s">
        <v>50</v>
      </c>
      <c r="N21" s="3" t="s">
        <v>23</v>
      </c>
      <c r="O21" s="3" t="s">
        <v>160</v>
      </c>
      <c r="P21" s="3" t="s">
        <v>36</v>
      </c>
      <c r="Q21" s="3" t="s">
        <v>38</v>
      </c>
      <c r="R21" s="3" t="s">
        <v>86</v>
      </c>
      <c r="S21" s="5" t="s">
        <v>200</v>
      </c>
      <c r="T21" s="3" t="s">
        <v>590</v>
      </c>
      <c r="U21" s="3" t="s">
        <v>593</v>
      </c>
      <c r="V21" s="3" t="s">
        <v>597</v>
      </c>
      <c r="W21" s="3" t="s">
        <v>602</v>
      </c>
      <c r="X21" s="3" t="s">
        <v>609</v>
      </c>
      <c r="Y21" s="3" t="s">
        <v>606</v>
      </c>
    </row>
    <row r="22" spans="1:25">
      <c r="A22" t="s">
        <v>234</v>
      </c>
      <c r="B22" t="s">
        <v>52</v>
      </c>
      <c r="C22" s="1" t="s">
        <v>235</v>
      </c>
      <c r="D22" s="4" t="s">
        <v>53</v>
      </c>
      <c r="E22" s="2" t="s">
        <v>21</v>
      </c>
      <c r="F22" s="2" t="s">
        <v>236</v>
      </c>
      <c r="G22" s="3" t="s">
        <v>237</v>
      </c>
      <c r="H22" s="3" t="s">
        <v>238</v>
      </c>
      <c r="I22" s="3" t="s">
        <v>23</v>
      </c>
      <c r="J22" s="3" t="s">
        <v>239</v>
      </c>
      <c r="K22" s="3" t="s">
        <v>67</v>
      </c>
      <c r="L22" s="3" t="s">
        <v>30</v>
      </c>
      <c r="M22" s="3" t="s">
        <v>31</v>
      </c>
      <c r="N22" s="3" t="s">
        <v>118</v>
      </c>
      <c r="O22" s="3" t="s">
        <v>117</v>
      </c>
      <c r="P22" s="3" t="s">
        <v>67</v>
      </c>
      <c r="Q22" s="3" t="s">
        <v>38</v>
      </c>
      <c r="R22" s="3" t="s">
        <v>86</v>
      </c>
      <c r="S22" s="5" t="s">
        <v>240</v>
      </c>
      <c r="T22" s="3" t="s">
        <v>590</v>
      </c>
      <c r="U22" s="3" t="s">
        <v>593</v>
      </c>
      <c r="V22" s="3" t="s">
        <v>598</v>
      </c>
      <c r="W22" s="3" t="s">
        <v>602</v>
      </c>
      <c r="X22" s="3" t="s">
        <v>609</v>
      </c>
      <c r="Y22" s="3" t="s">
        <v>606</v>
      </c>
    </row>
    <row r="23" spans="1:25">
      <c r="A23" t="s">
        <v>368</v>
      </c>
      <c r="B23" t="s">
        <v>46</v>
      </c>
      <c r="C23" s="1" t="s">
        <v>369</v>
      </c>
      <c r="D23" s="4" t="s">
        <v>47</v>
      </c>
      <c r="E23" s="2" t="s">
        <v>45</v>
      </c>
      <c r="F23" s="2" t="s">
        <v>370</v>
      </c>
      <c r="G23" s="3" t="s">
        <v>371</v>
      </c>
      <c r="H23" s="3" t="s">
        <v>356</v>
      </c>
      <c r="I23" s="3" t="s">
        <v>329</v>
      </c>
      <c r="J23" s="3" t="s">
        <v>372</v>
      </c>
      <c r="K23" s="3" t="s">
        <v>141</v>
      </c>
      <c r="L23" s="3" t="s">
        <v>357</v>
      </c>
      <c r="M23" s="3" t="s">
        <v>194</v>
      </c>
      <c r="N23" s="3" t="s">
        <v>151</v>
      </c>
      <c r="O23" s="3" t="s">
        <v>142</v>
      </c>
      <c r="P23" s="3" t="s">
        <v>59</v>
      </c>
      <c r="Q23" s="3" t="s">
        <v>38</v>
      </c>
      <c r="R23" s="3" t="s">
        <v>86</v>
      </c>
      <c r="S23" s="5" t="s">
        <v>373</v>
      </c>
      <c r="T23" s="3" t="s">
        <v>590</v>
      </c>
      <c r="U23" s="3" t="s">
        <v>593</v>
      </c>
      <c r="V23" s="3" t="s">
        <v>596</v>
      </c>
      <c r="W23" s="3" t="s">
        <v>601</v>
      </c>
      <c r="X23" s="3" t="s">
        <v>609</v>
      </c>
      <c r="Y23" s="3" t="s">
        <v>606</v>
      </c>
    </row>
    <row r="24" spans="1:25">
      <c r="A24" t="s">
        <v>381</v>
      </c>
      <c r="B24" t="s">
        <v>39</v>
      </c>
      <c r="C24" s="1" t="s">
        <v>382</v>
      </c>
      <c r="D24" s="4" t="s">
        <v>40</v>
      </c>
      <c r="E24" s="2" t="s">
        <v>60</v>
      </c>
      <c r="F24" s="2" t="s">
        <v>23</v>
      </c>
      <c r="G24" s="3" t="s">
        <v>379</v>
      </c>
      <c r="H24" s="3" t="s">
        <v>376</v>
      </c>
      <c r="I24" s="3" t="s">
        <v>329</v>
      </c>
      <c r="J24" s="3" t="s">
        <v>380</v>
      </c>
      <c r="K24" s="3" t="s">
        <v>377</v>
      </c>
      <c r="L24" s="3" t="s">
        <v>49</v>
      </c>
      <c r="M24" s="3" t="s">
        <v>50</v>
      </c>
      <c r="N24" s="3" t="s">
        <v>23</v>
      </c>
      <c r="O24" s="3" t="s">
        <v>378</v>
      </c>
      <c r="P24" s="3" t="s">
        <v>121</v>
      </c>
      <c r="Q24" s="3" t="s">
        <v>54</v>
      </c>
      <c r="R24" s="3" t="s">
        <v>86</v>
      </c>
      <c r="S24" s="5" t="s">
        <v>383</v>
      </c>
      <c r="T24" s="3" t="s">
        <v>590</v>
      </c>
      <c r="U24" s="3" t="s">
        <v>593</v>
      </c>
      <c r="V24" s="3" t="s">
        <v>598</v>
      </c>
      <c r="W24" s="3" t="s">
        <v>603</v>
      </c>
      <c r="X24" s="3" t="s">
        <v>609</v>
      </c>
      <c r="Y24" s="3" t="s">
        <v>606</v>
      </c>
    </row>
    <row r="25" spans="1:25">
      <c r="A25" t="s">
        <v>241</v>
      </c>
      <c r="B25" t="s">
        <v>79</v>
      </c>
      <c r="C25" s="1" t="s">
        <v>242</v>
      </c>
      <c r="D25" s="4" t="s">
        <v>80</v>
      </c>
      <c r="E25" s="2" t="s">
        <v>21</v>
      </c>
      <c r="F25" s="2" t="s">
        <v>243</v>
      </c>
      <c r="G25" s="3" t="s">
        <v>244</v>
      </c>
      <c r="H25" s="3" t="s">
        <v>245</v>
      </c>
      <c r="I25" s="3" t="s">
        <v>119</v>
      </c>
      <c r="J25" s="3" t="s">
        <v>246</v>
      </c>
      <c r="K25" s="3" t="s">
        <v>231</v>
      </c>
      <c r="L25" s="3" t="s">
        <v>49</v>
      </c>
      <c r="M25" s="3" t="s">
        <v>37</v>
      </c>
      <c r="N25" s="3" t="s">
        <v>23</v>
      </c>
      <c r="O25" s="3" t="s">
        <v>247</v>
      </c>
      <c r="P25" s="3" t="s">
        <v>67</v>
      </c>
      <c r="Q25" s="3" t="s">
        <v>54</v>
      </c>
      <c r="R25" s="3" t="s">
        <v>86</v>
      </c>
      <c r="S25" s="5" t="s">
        <v>248</v>
      </c>
      <c r="T25" s="3" t="s">
        <v>590</v>
      </c>
      <c r="U25" s="3" t="s">
        <v>594</v>
      </c>
      <c r="V25" s="3" t="s">
        <v>598</v>
      </c>
      <c r="W25" s="3" t="s">
        <v>601</v>
      </c>
      <c r="X25" s="3" t="s">
        <v>610</v>
      </c>
      <c r="Y25" s="3" t="s">
        <v>606</v>
      </c>
    </row>
    <row r="26" spans="1:25">
      <c r="A26" t="s">
        <v>292</v>
      </c>
      <c r="B26" t="s">
        <v>39</v>
      </c>
      <c r="C26" s="1" t="s">
        <v>293</v>
      </c>
      <c r="D26" s="4" t="s">
        <v>40</v>
      </c>
      <c r="E26" s="2" t="s">
        <v>21</v>
      </c>
      <c r="F26" s="2" t="s">
        <v>294</v>
      </c>
      <c r="G26" s="3" t="s">
        <v>289</v>
      </c>
      <c r="H26" s="3" t="s">
        <v>57</v>
      </c>
      <c r="I26" s="3" t="s">
        <v>58</v>
      </c>
      <c r="J26" s="3" t="s">
        <v>290</v>
      </c>
      <c r="K26" s="3" t="s">
        <v>59</v>
      </c>
      <c r="L26" s="3" t="s">
        <v>49</v>
      </c>
      <c r="M26" s="3" t="s">
        <v>50</v>
      </c>
      <c r="N26" s="3" t="s">
        <v>23</v>
      </c>
      <c r="O26" s="3" t="s">
        <v>291</v>
      </c>
      <c r="P26" s="3" t="s">
        <v>59</v>
      </c>
      <c r="Q26" s="3" t="s">
        <v>54</v>
      </c>
      <c r="R26" s="3" t="s">
        <v>86</v>
      </c>
      <c r="S26" s="5" t="s">
        <v>295</v>
      </c>
      <c r="T26" s="3" t="s">
        <v>590</v>
      </c>
      <c r="U26" s="3" t="s">
        <v>594</v>
      </c>
      <c r="V26" s="3" t="s">
        <v>598</v>
      </c>
      <c r="W26" s="3" t="s">
        <v>601</v>
      </c>
      <c r="X26" s="3" t="s">
        <v>610</v>
      </c>
      <c r="Y26" s="3" t="s">
        <v>606</v>
      </c>
    </row>
    <row r="27" spans="1:25">
      <c r="A27" t="s">
        <v>441</v>
      </c>
      <c r="B27" t="s">
        <v>399</v>
      </c>
      <c r="C27" s="1" t="s">
        <v>442</v>
      </c>
      <c r="D27" s="4" t="s">
        <v>400</v>
      </c>
      <c r="E27" s="2" t="s">
        <v>60</v>
      </c>
      <c r="F27" s="2" t="s">
        <v>443</v>
      </c>
      <c r="G27" s="3" t="s">
        <v>155</v>
      </c>
      <c r="H27" s="3" t="s">
        <v>23</v>
      </c>
      <c r="I27" s="3" t="s">
        <v>23</v>
      </c>
      <c r="J27" s="3" t="s">
        <v>156</v>
      </c>
      <c r="K27" s="3" t="s">
        <v>146</v>
      </c>
      <c r="L27" s="3" t="s">
        <v>24</v>
      </c>
      <c r="M27" s="3" t="s">
        <v>96</v>
      </c>
      <c r="N27" s="3" t="s">
        <v>151</v>
      </c>
      <c r="O27" s="3" t="s">
        <v>152</v>
      </c>
      <c r="P27" s="3" t="s">
        <v>144</v>
      </c>
      <c r="Q27" s="3" t="s">
        <v>25</v>
      </c>
      <c r="R27" s="3" t="s">
        <v>86</v>
      </c>
      <c r="S27" s="5" t="s">
        <v>444</v>
      </c>
      <c r="T27" s="3" t="s">
        <v>591</v>
      </c>
      <c r="U27" s="3" t="s">
        <v>593</v>
      </c>
      <c r="V27" s="3" t="s">
        <v>598</v>
      </c>
      <c r="W27" s="3" t="s">
        <v>601</v>
      </c>
      <c r="X27" s="3" t="s">
        <v>609</v>
      </c>
      <c r="Y27" s="3" t="s">
        <v>609</v>
      </c>
    </row>
    <row r="28" spans="1:25">
      <c r="A28" t="s">
        <v>504</v>
      </c>
      <c r="B28" t="s">
        <v>386</v>
      </c>
      <c r="C28" s="1" t="s">
        <v>505</v>
      </c>
      <c r="D28" s="4" t="s">
        <v>387</v>
      </c>
      <c r="E28" s="2" t="s">
        <v>65</v>
      </c>
      <c r="F28" s="2" t="s">
        <v>506</v>
      </c>
      <c r="G28" s="3" t="s">
        <v>507</v>
      </c>
      <c r="H28" s="3" t="s">
        <v>402</v>
      </c>
      <c r="I28" s="3" t="s">
        <v>296</v>
      </c>
      <c r="J28" s="3" t="s">
        <v>508</v>
      </c>
      <c r="K28" s="3" t="s">
        <v>48</v>
      </c>
      <c r="L28" s="3" t="s">
        <v>49</v>
      </c>
      <c r="M28" s="3" t="s">
        <v>61</v>
      </c>
      <c r="N28" s="3" t="s">
        <v>23</v>
      </c>
      <c r="O28" s="3" t="s">
        <v>51</v>
      </c>
      <c r="P28" s="3" t="s">
        <v>48</v>
      </c>
      <c r="Q28" s="3" t="s">
        <v>38</v>
      </c>
      <c r="R28" s="3" t="s">
        <v>86</v>
      </c>
      <c r="S28" s="5" t="s">
        <v>509</v>
      </c>
      <c r="T28" s="3" t="s">
        <v>591</v>
      </c>
      <c r="U28" s="3" t="s">
        <v>593</v>
      </c>
      <c r="V28" s="3" t="s">
        <v>596</v>
      </c>
      <c r="W28" s="3" t="s">
        <v>603</v>
      </c>
      <c r="X28" s="3" t="s">
        <v>606</v>
      </c>
      <c r="Y28" s="3" t="s">
        <v>606</v>
      </c>
    </row>
    <row r="29" spans="1:25">
      <c r="A29" t="s">
        <v>475</v>
      </c>
      <c r="B29" t="s">
        <v>384</v>
      </c>
      <c r="C29" s="1" t="s">
        <v>476</v>
      </c>
      <c r="D29" s="4" t="s">
        <v>385</v>
      </c>
      <c r="E29" s="2" t="s">
        <v>21</v>
      </c>
      <c r="F29" s="2" t="s">
        <v>477</v>
      </c>
      <c r="G29" s="3" t="s">
        <v>478</v>
      </c>
      <c r="H29" s="3" t="s">
        <v>479</v>
      </c>
      <c r="I29" s="3" t="s">
        <v>23</v>
      </c>
      <c r="J29" s="3" t="s">
        <v>480</v>
      </c>
      <c r="K29" s="3" t="s">
        <v>41</v>
      </c>
      <c r="L29" s="3" t="s">
        <v>97</v>
      </c>
      <c r="M29" s="3" t="s">
        <v>31</v>
      </c>
      <c r="N29" s="3" t="s">
        <v>161</v>
      </c>
      <c r="O29" s="3" t="s">
        <v>33</v>
      </c>
      <c r="P29" s="3" t="s">
        <v>481</v>
      </c>
      <c r="Q29" s="3" t="s">
        <v>34</v>
      </c>
      <c r="R29" s="3" t="s">
        <v>86</v>
      </c>
      <c r="S29" s="5" t="s">
        <v>482</v>
      </c>
      <c r="T29" s="3" t="s">
        <v>591</v>
      </c>
      <c r="U29" s="3" t="s">
        <v>593</v>
      </c>
      <c r="V29" s="3" t="s">
        <v>596</v>
      </c>
      <c r="W29" s="3" t="s">
        <v>603</v>
      </c>
      <c r="X29" s="3" t="s">
        <v>607</v>
      </c>
      <c r="Y29" s="3" t="s">
        <v>608</v>
      </c>
    </row>
    <row r="30" spans="1:25">
      <c r="A30" t="s">
        <v>564</v>
      </c>
      <c r="B30" t="s">
        <v>399</v>
      </c>
      <c r="C30" s="1" t="s">
        <v>565</v>
      </c>
      <c r="D30" s="4" t="s">
        <v>400</v>
      </c>
      <c r="E30" s="2" t="s">
        <v>21</v>
      </c>
      <c r="F30" s="2" t="s">
        <v>566</v>
      </c>
      <c r="G30" s="3" t="s">
        <v>349</v>
      </c>
      <c r="H30" s="3" t="s">
        <v>350</v>
      </c>
      <c r="I30" s="3" t="s">
        <v>305</v>
      </c>
      <c r="J30" s="3" t="s">
        <v>351</v>
      </c>
      <c r="K30" s="3" t="s">
        <v>352</v>
      </c>
      <c r="L30" s="3" t="s">
        <v>157</v>
      </c>
      <c r="M30" s="3" t="s">
        <v>158</v>
      </c>
      <c r="N30" s="3" t="s">
        <v>151</v>
      </c>
      <c r="O30" s="3" t="s">
        <v>353</v>
      </c>
      <c r="P30" s="3" t="s">
        <v>67</v>
      </c>
      <c r="Q30" s="3" t="s">
        <v>54</v>
      </c>
      <c r="R30" s="3" t="s">
        <v>86</v>
      </c>
      <c r="S30" s="5" t="s">
        <v>567</v>
      </c>
      <c r="T30" s="3" t="s">
        <v>591</v>
      </c>
      <c r="U30" s="3" t="s">
        <v>593</v>
      </c>
      <c r="V30" s="3" t="s">
        <v>598</v>
      </c>
      <c r="W30" s="3" t="s">
        <v>601</v>
      </c>
      <c r="X30" s="3" t="s">
        <v>601</v>
      </c>
      <c r="Y30" s="3" t="s">
        <v>601</v>
      </c>
    </row>
    <row r="31" spans="1:25">
      <c r="A31" t="s">
        <v>522</v>
      </c>
      <c r="B31" t="s">
        <v>384</v>
      </c>
      <c r="C31" s="1" t="s">
        <v>523</v>
      </c>
      <c r="D31" s="4" t="s">
        <v>385</v>
      </c>
      <c r="E31" s="2" t="s">
        <v>65</v>
      </c>
      <c r="F31" s="2" t="s">
        <v>524</v>
      </c>
      <c r="G31" s="3" t="s">
        <v>525</v>
      </c>
      <c r="H31" s="3" t="s">
        <v>526</v>
      </c>
      <c r="I31" s="3" t="s">
        <v>112</v>
      </c>
      <c r="J31" s="3" t="s">
        <v>527</v>
      </c>
      <c r="K31" s="3" t="s">
        <v>56</v>
      </c>
      <c r="L31" s="3" t="s">
        <v>49</v>
      </c>
      <c r="M31" s="3" t="s">
        <v>122</v>
      </c>
      <c r="N31" s="3" t="s">
        <v>23</v>
      </c>
      <c r="O31" s="3" t="s">
        <v>528</v>
      </c>
      <c r="P31" s="3" t="s">
        <v>56</v>
      </c>
      <c r="Q31" s="3" t="s">
        <v>54</v>
      </c>
      <c r="R31" s="3" t="s">
        <v>86</v>
      </c>
      <c r="S31" s="5" t="s">
        <v>529</v>
      </c>
      <c r="T31" s="3" t="s">
        <v>591</v>
      </c>
      <c r="U31" s="3" t="s">
        <v>593</v>
      </c>
      <c r="V31" s="3" t="s">
        <v>596</v>
      </c>
      <c r="W31" s="3" t="s">
        <v>601</v>
      </c>
      <c r="X31" s="3" t="s">
        <v>607</v>
      </c>
      <c r="Y31" s="3" t="s">
        <v>608</v>
      </c>
    </row>
    <row r="32" spans="1:25">
      <c r="A32" t="s">
        <v>568</v>
      </c>
      <c r="B32" t="s">
        <v>384</v>
      </c>
      <c r="C32" s="1" t="s">
        <v>569</v>
      </c>
      <c r="D32" s="4" t="s">
        <v>385</v>
      </c>
      <c r="E32" s="2" t="s">
        <v>60</v>
      </c>
      <c r="F32" s="2" t="s">
        <v>23</v>
      </c>
      <c r="G32" s="3" t="s">
        <v>570</v>
      </c>
      <c r="H32" s="3" t="s">
        <v>355</v>
      </c>
      <c r="I32" s="3" t="s">
        <v>159</v>
      </c>
      <c r="J32" s="3" t="s">
        <v>571</v>
      </c>
      <c r="K32" s="3" t="s">
        <v>250</v>
      </c>
      <c r="L32" s="3" t="s">
        <v>49</v>
      </c>
      <c r="M32" s="3" t="s">
        <v>61</v>
      </c>
      <c r="N32" s="3" t="s">
        <v>23</v>
      </c>
      <c r="O32" s="3" t="s">
        <v>572</v>
      </c>
      <c r="P32" s="3" t="s">
        <v>348</v>
      </c>
      <c r="Q32" s="3" t="s">
        <v>54</v>
      </c>
      <c r="R32" s="3" t="s">
        <v>86</v>
      </c>
      <c r="S32" s="5" t="s">
        <v>573</v>
      </c>
      <c r="T32" s="3" t="s">
        <v>591</v>
      </c>
      <c r="U32" s="3" t="s">
        <v>593</v>
      </c>
      <c r="V32" s="3" t="s">
        <v>596</v>
      </c>
      <c r="W32" s="3" t="s">
        <v>603</v>
      </c>
      <c r="X32" s="3" t="s">
        <v>607</v>
      </c>
      <c r="Y32" s="3" t="s">
        <v>606</v>
      </c>
    </row>
    <row r="33" spans="1:25">
      <c r="A33" t="s">
        <v>456</v>
      </c>
      <c r="B33" t="s">
        <v>389</v>
      </c>
      <c r="C33" s="1" t="s">
        <v>457</v>
      </c>
      <c r="D33" s="4" t="s">
        <v>391</v>
      </c>
      <c r="E33" s="2" t="s">
        <v>221</v>
      </c>
      <c r="F33" s="2" t="s">
        <v>458</v>
      </c>
      <c r="G33" s="3" t="s">
        <v>164</v>
      </c>
      <c r="H33" s="3" t="s">
        <v>165</v>
      </c>
      <c r="I33" s="3" t="s">
        <v>166</v>
      </c>
      <c r="J33" s="3" t="s">
        <v>167</v>
      </c>
      <c r="K33" s="3" t="s">
        <v>29</v>
      </c>
      <c r="L33" s="3" t="s">
        <v>49</v>
      </c>
      <c r="M33" s="3" t="s">
        <v>50</v>
      </c>
      <c r="N33" s="3" t="s">
        <v>23</v>
      </c>
      <c r="O33" s="3" t="s">
        <v>44</v>
      </c>
      <c r="P33" s="3" t="s">
        <v>29</v>
      </c>
      <c r="Q33" s="3" t="s">
        <v>38</v>
      </c>
      <c r="R33" s="3" t="s">
        <v>86</v>
      </c>
      <c r="S33" s="5" t="s">
        <v>459</v>
      </c>
      <c r="T33" s="3" t="s">
        <v>591</v>
      </c>
      <c r="U33" s="3" t="s">
        <v>593</v>
      </c>
      <c r="V33" s="3" t="s">
        <v>598</v>
      </c>
      <c r="W33" s="3" t="s">
        <v>601</v>
      </c>
      <c r="X33" s="3" t="s">
        <v>601</v>
      </c>
      <c r="Y33" s="3" t="s">
        <v>601</v>
      </c>
    </row>
    <row r="34" spans="1:25">
      <c r="A34" t="s">
        <v>469</v>
      </c>
      <c r="B34" t="s">
        <v>389</v>
      </c>
      <c r="C34" s="1" t="s">
        <v>470</v>
      </c>
      <c r="D34" s="4" t="s">
        <v>391</v>
      </c>
      <c r="E34" s="2" t="s">
        <v>45</v>
      </c>
      <c r="F34" s="2" t="s">
        <v>471</v>
      </c>
      <c r="G34" s="3" t="s">
        <v>186</v>
      </c>
      <c r="H34" s="3" t="s">
        <v>187</v>
      </c>
      <c r="I34" s="3" t="s">
        <v>188</v>
      </c>
      <c r="J34" s="3" t="s">
        <v>189</v>
      </c>
      <c r="K34" s="3" t="s">
        <v>190</v>
      </c>
      <c r="L34" s="3" t="s">
        <v>49</v>
      </c>
      <c r="M34" s="3" t="s">
        <v>191</v>
      </c>
      <c r="N34" s="3" t="s">
        <v>23</v>
      </c>
      <c r="O34" s="3" t="s">
        <v>192</v>
      </c>
      <c r="P34" s="3" t="s">
        <v>193</v>
      </c>
      <c r="Q34" s="3" t="s">
        <v>54</v>
      </c>
      <c r="R34" s="3" t="s">
        <v>86</v>
      </c>
      <c r="S34" s="5" t="s">
        <v>472</v>
      </c>
      <c r="T34" s="3" t="s">
        <v>591</v>
      </c>
      <c r="U34" s="3" t="s">
        <v>593</v>
      </c>
      <c r="V34" s="3" t="s">
        <v>598</v>
      </c>
      <c r="W34" s="3" t="s">
        <v>601</v>
      </c>
      <c r="X34" s="3" t="s">
        <v>607</v>
      </c>
      <c r="Y34" s="3" t="s">
        <v>608</v>
      </c>
    </row>
    <row r="35" spans="1:25">
      <c r="A35" t="s">
        <v>530</v>
      </c>
      <c r="B35" t="s">
        <v>389</v>
      </c>
      <c r="C35" s="1" t="s">
        <v>531</v>
      </c>
      <c r="D35" s="4" t="s">
        <v>391</v>
      </c>
      <c r="E35" s="2" t="s">
        <v>45</v>
      </c>
      <c r="F35" s="2" t="s">
        <v>532</v>
      </c>
      <c r="G35" s="3" t="s">
        <v>533</v>
      </c>
      <c r="H35" s="3" t="s">
        <v>264</v>
      </c>
      <c r="I35" s="3" t="s">
        <v>119</v>
      </c>
      <c r="J35" s="3" t="s">
        <v>534</v>
      </c>
      <c r="K35" s="3" t="s">
        <v>277</v>
      </c>
      <c r="L35" s="3" t="s">
        <v>49</v>
      </c>
      <c r="M35" s="3" t="s">
        <v>535</v>
      </c>
      <c r="N35" s="3" t="s">
        <v>23</v>
      </c>
      <c r="O35" s="3" t="s">
        <v>265</v>
      </c>
      <c r="P35" s="3" t="s">
        <v>48</v>
      </c>
      <c r="Q35" s="3" t="s">
        <v>54</v>
      </c>
      <c r="R35" s="3" t="s">
        <v>86</v>
      </c>
      <c r="S35" s="5" t="s">
        <v>536</v>
      </c>
      <c r="T35" s="3" t="s">
        <v>591</v>
      </c>
      <c r="U35" s="3" t="s">
        <v>593</v>
      </c>
      <c r="V35" s="3" t="s">
        <v>598</v>
      </c>
      <c r="W35" s="3" t="s">
        <v>603</v>
      </c>
      <c r="X35" s="3" t="s">
        <v>606</v>
      </c>
      <c r="Y35" s="3" t="s">
        <v>606</v>
      </c>
    </row>
    <row r="36" spans="1:25">
      <c r="A36" t="s">
        <v>497</v>
      </c>
      <c r="B36" t="s">
        <v>399</v>
      </c>
      <c r="C36" s="1" t="s">
        <v>498</v>
      </c>
      <c r="D36" s="4" t="s">
        <v>400</v>
      </c>
      <c r="E36" s="2" t="s">
        <v>163</v>
      </c>
      <c r="F36" s="2" t="s">
        <v>499</v>
      </c>
      <c r="G36" s="3" t="s">
        <v>500</v>
      </c>
      <c r="H36" s="3" t="s">
        <v>227</v>
      </c>
      <c r="I36" s="3" t="s">
        <v>213</v>
      </c>
      <c r="J36" s="3" t="s">
        <v>501</v>
      </c>
      <c r="K36" s="3" t="s">
        <v>67</v>
      </c>
      <c r="L36" s="3" t="s">
        <v>49</v>
      </c>
      <c r="M36" s="3" t="s">
        <v>61</v>
      </c>
      <c r="N36" s="3" t="s">
        <v>23</v>
      </c>
      <c r="O36" s="3" t="s">
        <v>401</v>
      </c>
      <c r="P36" s="3" t="s">
        <v>67</v>
      </c>
      <c r="Q36" s="3" t="s">
        <v>54</v>
      </c>
      <c r="R36" s="3" t="s">
        <v>86</v>
      </c>
      <c r="S36" s="5" t="s">
        <v>502</v>
      </c>
      <c r="T36" s="3" t="s">
        <v>591</v>
      </c>
      <c r="U36" s="3" t="s">
        <v>593</v>
      </c>
      <c r="V36" s="3" t="s">
        <v>598</v>
      </c>
      <c r="W36" s="3" t="s">
        <v>601</v>
      </c>
      <c r="X36" s="3" t="s">
        <v>606</v>
      </c>
      <c r="Y36" s="3" t="s">
        <v>606</v>
      </c>
    </row>
    <row r="37" spans="1:25">
      <c r="A37" t="s">
        <v>558</v>
      </c>
      <c r="B37" t="s">
        <v>399</v>
      </c>
      <c r="C37" s="1" t="s">
        <v>559</v>
      </c>
      <c r="D37" s="4" t="s">
        <v>400</v>
      </c>
      <c r="E37" s="2" t="s">
        <v>21</v>
      </c>
      <c r="F37" s="2" t="s">
        <v>560</v>
      </c>
      <c r="G37" s="3" t="s">
        <v>561</v>
      </c>
      <c r="H37" s="3" t="s">
        <v>315</v>
      </c>
      <c r="I37" s="3" t="s">
        <v>316</v>
      </c>
      <c r="J37" s="3" t="s">
        <v>562</v>
      </c>
      <c r="K37" s="3" t="s">
        <v>63</v>
      </c>
      <c r="L37" s="3" t="s">
        <v>49</v>
      </c>
      <c r="M37" s="3" t="s">
        <v>50</v>
      </c>
      <c r="N37" s="3" t="s">
        <v>23</v>
      </c>
      <c r="O37" s="3" t="s">
        <v>23</v>
      </c>
      <c r="P37" s="3" t="s">
        <v>146</v>
      </c>
      <c r="Q37" s="3" t="s">
        <v>54</v>
      </c>
      <c r="R37" s="3" t="s">
        <v>86</v>
      </c>
      <c r="S37" s="5" t="s">
        <v>563</v>
      </c>
      <c r="T37" s="3" t="s">
        <v>591</v>
      </c>
      <c r="U37" s="3" t="s">
        <v>593</v>
      </c>
      <c r="V37" s="3" t="s">
        <v>598</v>
      </c>
      <c r="W37" s="3" t="s">
        <v>601</v>
      </c>
      <c r="X37" s="3" t="s">
        <v>607</v>
      </c>
      <c r="Y37" s="3" t="s">
        <v>608</v>
      </c>
    </row>
    <row r="38" spans="1:25">
      <c r="A38" t="s">
        <v>388</v>
      </c>
      <c r="B38" t="s">
        <v>389</v>
      </c>
      <c r="C38" s="1" t="s">
        <v>390</v>
      </c>
      <c r="D38" s="4" t="s">
        <v>391</v>
      </c>
      <c r="E38" s="2" t="s">
        <v>392</v>
      </c>
      <c r="F38" s="2" t="s">
        <v>393</v>
      </c>
      <c r="G38" s="3" t="s">
        <v>394</v>
      </c>
      <c r="H38" s="3" t="s">
        <v>395</v>
      </c>
      <c r="I38" s="3" t="s">
        <v>223</v>
      </c>
      <c r="J38" s="3" t="s">
        <v>396</v>
      </c>
      <c r="K38" s="3" t="s">
        <v>36</v>
      </c>
      <c r="L38" s="3" t="s">
        <v>30</v>
      </c>
      <c r="M38" s="3" t="s">
        <v>120</v>
      </c>
      <c r="N38" s="3" t="s">
        <v>23</v>
      </c>
      <c r="O38" s="3" t="s">
        <v>397</v>
      </c>
      <c r="P38" s="3" t="s">
        <v>36</v>
      </c>
      <c r="Q38" s="3" t="s">
        <v>54</v>
      </c>
      <c r="R38" s="3" t="s">
        <v>26</v>
      </c>
      <c r="S38" s="5" t="s">
        <v>398</v>
      </c>
      <c r="T38" s="3" t="s">
        <v>591</v>
      </c>
      <c r="U38" s="3" t="s">
        <v>593</v>
      </c>
      <c r="V38" s="3" t="s">
        <v>598</v>
      </c>
      <c r="W38" s="3" t="s">
        <v>601</v>
      </c>
      <c r="X38" s="3" t="s">
        <v>606</v>
      </c>
      <c r="Y38" s="3" t="s">
        <v>606</v>
      </c>
    </row>
    <row r="39" spans="1:25">
      <c r="A39" t="s">
        <v>510</v>
      </c>
      <c r="B39" t="s">
        <v>399</v>
      </c>
      <c r="C39" s="1" t="s">
        <v>511</v>
      </c>
      <c r="D39" s="4" t="s">
        <v>400</v>
      </c>
      <c r="E39" s="2" t="s">
        <v>65</v>
      </c>
      <c r="F39" s="2" t="s">
        <v>512</v>
      </c>
      <c r="G39" s="3" t="s">
        <v>262</v>
      </c>
      <c r="H39" s="3" t="s">
        <v>260</v>
      </c>
      <c r="I39" s="3" t="s">
        <v>23</v>
      </c>
      <c r="J39" s="3" t="s">
        <v>263</v>
      </c>
      <c r="K39" s="3" t="s">
        <v>48</v>
      </c>
      <c r="L39" s="3" t="s">
        <v>49</v>
      </c>
      <c r="M39" s="3" t="s">
        <v>50</v>
      </c>
      <c r="N39" s="3" t="s">
        <v>23</v>
      </c>
      <c r="O39" s="3" t="s">
        <v>261</v>
      </c>
      <c r="P39" s="3" t="s">
        <v>29</v>
      </c>
      <c r="Q39" s="3" t="s">
        <v>54</v>
      </c>
      <c r="R39" s="3" t="s">
        <v>86</v>
      </c>
      <c r="S39" s="5" t="s">
        <v>513</v>
      </c>
      <c r="T39" s="3" t="s">
        <v>591</v>
      </c>
      <c r="U39" s="3" t="s">
        <v>593</v>
      </c>
      <c r="V39" s="3" t="s">
        <v>598</v>
      </c>
      <c r="W39" s="3" t="s">
        <v>601</v>
      </c>
      <c r="X39" s="3" t="s">
        <v>607</v>
      </c>
      <c r="Y39" s="3" t="s">
        <v>606</v>
      </c>
    </row>
    <row r="40" spans="1:25">
      <c r="A40" t="s">
        <v>446</v>
      </c>
      <c r="B40" t="s">
        <v>403</v>
      </c>
      <c r="C40" s="1" t="s">
        <v>447</v>
      </c>
      <c r="D40" s="4" t="s">
        <v>404</v>
      </c>
      <c r="E40" s="2" t="s">
        <v>21</v>
      </c>
      <c r="F40" s="2" t="s">
        <v>448</v>
      </c>
      <c r="G40" s="3" t="s">
        <v>449</v>
      </c>
      <c r="H40" s="3" t="s">
        <v>450</v>
      </c>
      <c r="I40" s="3" t="s">
        <v>296</v>
      </c>
      <c r="J40" s="3" t="s">
        <v>451</v>
      </c>
      <c r="K40" s="3" t="s">
        <v>29</v>
      </c>
      <c r="L40" s="3" t="s">
        <v>97</v>
      </c>
      <c r="M40" s="3" t="s">
        <v>31</v>
      </c>
      <c r="N40" s="3" t="s">
        <v>32</v>
      </c>
      <c r="O40" s="3" t="s">
        <v>452</v>
      </c>
      <c r="P40" s="3" t="s">
        <v>29</v>
      </c>
      <c r="Q40" s="3" t="s">
        <v>34</v>
      </c>
      <c r="R40" s="3" t="s">
        <v>86</v>
      </c>
      <c r="S40" s="5" t="s">
        <v>453</v>
      </c>
      <c r="T40" s="3" t="s">
        <v>591</v>
      </c>
      <c r="U40" s="3" t="s">
        <v>593</v>
      </c>
      <c r="V40" s="3" t="s">
        <v>598</v>
      </c>
      <c r="W40" s="3" t="s">
        <v>601</v>
      </c>
      <c r="X40" s="3" t="s">
        <v>609</v>
      </c>
      <c r="Y40" s="3" t="s">
        <v>606</v>
      </c>
    </row>
    <row r="41" spans="1:25">
      <c r="A41" t="s">
        <v>411</v>
      </c>
      <c r="B41" t="s">
        <v>384</v>
      </c>
      <c r="C41" s="1" t="s">
        <v>412</v>
      </c>
      <c r="D41" s="4" t="s">
        <v>385</v>
      </c>
      <c r="E41" s="2" t="s">
        <v>90</v>
      </c>
      <c r="F41" s="2" t="s">
        <v>413</v>
      </c>
      <c r="G41" s="3" t="s">
        <v>414</v>
      </c>
      <c r="H41" s="3" t="s">
        <v>415</v>
      </c>
      <c r="I41" s="3" t="s">
        <v>23</v>
      </c>
      <c r="J41" s="3" t="s">
        <v>416</v>
      </c>
      <c r="K41" s="3" t="s">
        <v>107</v>
      </c>
      <c r="L41" s="3" t="s">
        <v>97</v>
      </c>
      <c r="M41" s="3" t="s">
        <v>31</v>
      </c>
      <c r="N41" s="3" t="s">
        <v>417</v>
      </c>
      <c r="O41" s="3" t="s">
        <v>98</v>
      </c>
      <c r="P41" s="3" t="s">
        <v>107</v>
      </c>
      <c r="Q41" s="3" t="s">
        <v>38</v>
      </c>
      <c r="R41" s="3" t="s">
        <v>86</v>
      </c>
      <c r="S41" s="5" t="s">
        <v>418</v>
      </c>
      <c r="T41" s="3" t="s">
        <v>591</v>
      </c>
      <c r="U41" s="3" t="s">
        <v>593</v>
      </c>
      <c r="V41" s="3" t="s">
        <v>596</v>
      </c>
      <c r="W41" s="3" t="s">
        <v>601</v>
      </c>
      <c r="X41" s="3" t="s">
        <v>609</v>
      </c>
      <c r="Y41" s="3" t="s">
        <v>609</v>
      </c>
    </row>
    <row r="42" spans="1:25">
      <c r="A42" t="s">
        <v>514</v>
      </c>
      <c r="B42" t="s">
        <v>389</v>
      </c>
      <c r="C42" s="1" t="s">
        <v>515</v>
      </c>
      <c r="D42" s="4" t="s">
        <v>391</v>
      </c>
      <c r="E42" s="2" t="s">
        <v>21</v>
      </c>
      <c r="F42" s="2" t="s">
        <v>516</v>
      </c>
      <c r="G42" s="3" t="s">
        <v>517</v>
      </c>
      <c r="H42" s="3" t="s">
        <v>518</v>
      </c>
      <c r="I42" s="3" t="s">
        <v>201</v>
      </c>
      <c r="J42" s="3" t="s">
        <v>519</v>
      </c>
      <c r="K42" s="3" t="s">
        <v>56</v>
      </c>
      <c r="L42" s="3" t="s">
        <v>49</v>
      </c>
      <c r="M42" s="3" t="s">
        <v>191</v>
      </c>
      <c r="N42" s="3" t="s">
        <v>23</v>
      </c>
      <c r="O42" s="3" t="s">
        <v>520</v>
      </c>
      <c r="P42" s="3" t="s">
        <v>56</v>
      </c>
      <c r="Q42" s="3" t="s">
        <v>54</v>
      </c>
      <c r="R42" s="3" t="s">
        <v>86</v>
      </c>
      <c r="S42" s="5" t="s">
        <v>521</v>
      </c>
      <c r="T42" s="3" t="s">
        <v>591</v>
      </c>
      <c r="U42" s="3" t="s">
        <v>593</v>
      </c>
      <c r="V42" s="3" t="s">
        <v>598</v>
      </c>
      <c r="W42" s="3" t="s">
        <v>601</v>
      </c>
      <c r="X42" s="3" t="s">
        <v>609</v>
      </c>
      <c r="Y42" s="3" t="s">
        <v>606</v>
      </c>
    </row>
    <row r="43" spans="1:25">
      <c r="A43" t="s">
        <v>537</v>
      </c>
      <c r="B43" t="s">
        <v>409</v>
      </c>
      <c r="C43" s="1" t="s">
        <v>538</v>
      </c>
      <c r="D43" s="4" t="s">
        <v>410</v>
      </c>
      <c r="E43" s="2" t="s">
        <v>116</v>
      </c>
      <c r="F43" s="2" t="s">
        <v>539</v>
      </c>
      <c r="G43" s="3" t="s">
        <v>540</v>
      </c>
      <c r="H43" s="3" t="s">
        <v>541</v>
      </c>
      <c r="I43" s="3" t="s">
        <v>23</v>
      </c>
      <c r="J43" s="3" t="s">
        <v>542</v>
      </c>
      <c r="K43" s="3" t="s">
        <v>59</v>
      </c>
      <c r="L43" s="3" t="s">
        <v>30</v>
      </c>
      <c r="M43" s="3" t="s">
        <v>140</v>
      </c>
      <c r="N43" s="3" t="s">
        <v>347</v>
      </c>
      <c r="O43" s="3" t="s">
        <v>543</v>
      </c>
      <c r="P43" s="3" t="s">
        <v>59</v>
      </c>
      <c r="Q43" s="3" t="s">
        <v>54</v>
      </c>
      <c r="R43" s="3" t="s">
        <v>86</v>
      </c>
      <c r="S43" s="5" t="s">
        <v>544</v>
      </c>
      <c r="T43" s="3" t="s">
        <v>591</v>
      </c>
      <c r="U43" s="3" t="s">
        <v>593</v>
      </c>
      <c r="V43" s="3" t="s">
        <v>598</v>
      </c>
      <c r="W43" s="3" t="s">
        <v>603</v>
      </c>
      <c r="X43" s="3" t="s">
        <v>606</v>
      </c>
      <c r="Y43" s="3" t="s">
        <v>606</v>
      </c>
    </row>
    <row r="44" spans="1:25">
      <c r="A44" t="s">
        <v>574</v>
      </c>
      <c r="B44" t="s">
        <v>389</v>
      </c>
      <c r="C44" s="1" t="s">
        <v>575</v>
      </c>
      <c r="D44" s="4" t="s">
        <v>391</v>
      </c>
      <c r="E44" s="2" t="s">
        <v>72</v>
      </c>
      <c r="F44" s="2" t="s">
        <v>576</v>
      </c>
      <c r="G44" s="3" t="s">
        <v>577</v>
      </c>
      <c r="H44" s="3" t="s">
        <v>578</v>
      </c>
      <c r="I44" s="3" t="s">
        <v>281</v>
      </c>
      <c r="J44" s="3" t="s">
        <v>579</v>
      </c>
      <c r="K44" s="3" t="s">
        <v>99</v>
      </c>
      <c r="L44" s="3" t="s">
        <v>97</v>
      </c>
      <c r="M44" s="3" t="s">
        <v>120</v>
      </c>
      <c r="N44" s="3" t="s">
        <v>23</v>
      </c>
      <c r="O44" s="3" t="s">
        <v>580</v>
      </c>
      <c r="P44" s="3" t="s">
        <v>59</v>
      </c>
      <c r="Q44" s="3" t="s">
        <v>34</v>
      </c>
      <c r="R44" s="3" t="s">
        <v>86</v>
      </c>
      <c r="S44" s="5" t="s">
        <v>581</v>
      </c>
      <c r="T44" s="3" t="s">
        <v>591</v>
      </c>
      <c r="U44" s="3" t="s">
        <v>593</v>
      </c>
      <c r="V44" s="3" t="s">
        <v>598</v>
      </c>
      <c r="W44" s="3" t="s">
        <v>601</v>
      </c>
      <c r="X44" s="3" t="s">
        <v>609</v>
      </c>
      <c r="Y44" s="3" t="s">
        <v>606</v>
      </c>
    </row>
    <row r="45" spans="1:25">
      <c r="A45" t="s">
        <v>460</v>
      </c>
      <c r="B45" t="s">
        <v>384</v>
      </c>
      <c r="C45" s="1" t="s">
        <v>461</v>
      </c>
      <c r="D45" s="4" t="s">
        <v>385</v>
      </c>
      <c r="E45" s="2" t="s">
        <v>21</v>
      </c>
      <c r="F45" s="2" t="s">
        <v>462</v>
      </c>
      <c r="G45" s="3" t="s">
        <v>463</v>
      </c>
      <c r="H45" s="3" t="s">
        <v>464</v>
      </c>
      <c r="I45" s="3" t="s">
        <v>23</v>
      </c>
      <c r="J45" s="3" t="s">
        <v>465</v>
      </c>
      <c r="K45" s="3" t="s">
        <v>36</v>
      </c>
      <c r="L45" s="3" t="s">
        <v>97</v>
      </c>
      <c r="M45" s="3" t="s">
        <v>31</v>
      </c>
      <c r="N45" s="3" t="s">
        <v>150</v>
      </c>
      <c r="O45" s="3" t="s">
        <v>466</v>
      </c>
      <c r="P45" s="3" t="s">
        <v>467</v>
      </c>
      <c r="Q45" s="3" t="s">
        <v>38</v>
      </c>
      <c r="R45" s="3" t="s">
        <v>86</v>
      </c>
      <c r="S45" s="5" t="s">
        <v>468</v>
      </c>
      <c r="T45" s="3" t="s">
        <v>591</v>
      </c>
      <c r="U45" s="3" t="s">
        <v>593</v>
      </c>
      <c r="V45" s="3" t="s">
        <v>596</v>
      </c>
      <c r="W45" s="3" t="s">
        <v>601</v>
      </c>
      <c r="X45" s="3" t="s">
        <v>607</v>
      </c>
      <c r="Y45" s="3" t="s">
        <v>601</v>
      </c>
    </row>
    <row r="46" spans="1:25">
      <c r="A46" t="s">
        <v>483</v>
      </c>
      <c r="B46" t="s">
        <v>389</v>
      </c>
      <c r="C46" s="1" t="s">
        <v>484</v>
      </c>
      <c r="D46" s="4" t="s">
        <v>391</v>
      </c>
      <c r="E46" s="2" t="s">
        <v>21</v>
      </c>
      <c r="F46" s="2" t="s">
        <v>485</v>
      </c>
      <c r="G46" s="3" t="s">
        <v>486</v>
      </c>
      <c r="H46" s="3" t="s">
        <v>487</v>
      </c>
      <c r="I46" s="3" t="s">
        <v>35</v>
      </c>
      <c r="J46" s="3" t="s">
        <v>488</v>
      </c>
      <c r="K46" s="3" t="s">
        <v>41</v>
      </c>
      <c r="L46" s="3" t="s">
        <v>97</v>
      </c>
      <c r="M46" s="3" t="s">
        <v>120</v>
      </c>
      <c r="N46" s="3" t="s">
        <v>23</v>
      </c>
      <c r="O46" s="3" t="s">
        <v>489</v>
      </c>
      <c r="P46" s="3" t="s">
        <v>36</v>
      </c>
      <c r="Q46" s="3" t="s">
        <v>54</v>
      </c>
      <c r="R46" s="3" t="s">
        <v>86</v>
      </c>
      <c r="S46" s="5" t="s">
        <v>490</v>
      </c>
      <c r="T46" s="3" t="s">
        <v>591</v>
      </c>
      <c r="U46" s="3" t="s">
        <v>593</v>
      </c>
      <c r="V46" s="3" t="s">
        <v>598</v>
      </c>
      <c r="W46" s="3" t="s">
        <v>601</v>
      </c>
      <c r="X46" s="3" t="s">
        <v>601</v>
      </c>
      <c r="Y46" s="3" t="s">
        <v>601</v>
      </c>
    </row>
    <row r="47" spans="1:25">
      <c r="A47" t="s">
        <v>421</v>
      </c>
      <c r="B47" t="s">
        <v>389</v>
      </c>
      <c r="C47" s="1" t="s">
        <v>422</v>
      </c>
      <c r="D47" s="4" t="s">
        <v>391</v>
      </c>
      <c r="E47" s="2" t="s">
        <v>45</v>
      </c>
      <c r="F47" s="2" t="s">
        <v>423</v>
      </c>
      <c r="G47" s="3" t="s">
        <v>424</v>
      </c>
      <c r="H47" s="3" t="s">
        <v>22</v>
      </c>
      <c r="I47" s="3" t="s">
        <v>23</v>
      </c>
      <c r="J47" s="3" t="s">
        <v>425</v>
      </c>
      <c r="K47" s="3" t="s">
        <v>420</v>
      </c>
      <c r="L47" s="3" t="s">
        <v>24</v>
      </c>
      <c r="M47" s="3" t="s">
        <v>96</v>
      </c>
      <c r="N47" s="3" t="s">
        <v>407</v>
      </c>
      <c r="O47" s="3" t="s">
        <v>23</v>
      </c>
      <c r="P47" s="3" t="s">
        <v>23</v>
      </c>
      <c r="Q47" s="3" t="s">
        <v>25</v>
      </c>
      <c r="R47" s="3" t="s">
        <v>86</v>
      </c>
      <c r="S47" s="5" t="s">
        <v>426</v>
      </c>
      <c r="T47" s="3" t="s">
        <v>591</v>
      </c>
      <c r="U47" s="3" t="s">
        <v>593</v>
      </c>
      <c r="V47" s="3" t="s">
        <v>598</v>
      </c>
      <c r="W47" s="3" t="s">
        <v>601</v>
      </c>
      <c r="X47" s="3" t="s">
        <v>609</v>
      </c>
      <c r="Y47" s="3" t="s">
        <v>606</v>
      </c>
    </row>
    <row r="48" spans="1:25">
      <c r="A48" t="s">
        <v>435</v>
      </c>
      <c r="B48" t="s">
        <v>399</v>
      </c>
      <c r="C48" s="1" t="s">
        <v>436</v>
      </c>
      <c r="D48" s="4" t="s">
        <v>400</v>
      </c>
      <c r="E48" s="2" t="s">
        <v>60</v>
      </c>
      <c r="F48" s="2" t="s">
        <v>23</v>
      </c>
      <c r="G48" s="3" t="s">
        <v>437</v>
      </c>
      <c r="H48" s="3" t="s">
        <v>419</v>
      </c>
      <c r="I48" s="3" t="s">
        <v>377</v>
      </c>
      <c r="J48" s="3" t="s">
        <v>438</v>
      </c>
      <c r="K48" s="3" t="s">
        <v>146</v>
      </c>
      <c r="L48" s="3" t="s">
        <v>49</v>
      </c>
      <c r="M48" s="3" t="s">
        <v>50</v>
      </c>
      <c r="N48" s="3" t="s">
        <v>23</v>
      </c>
      <c r="O48" s="3" t="s">
        <v>439</v>
      </c>
      <c r="P48" s="3" t="s">
        <v>146</v>
      </c>
      <c r="Q48" s="3" t="s">
        <v>54</v>
      </c>
      <c r="R48" s="3" t="s">
        <v>86</v>
      </c>
      <c r="S48" s="5" t="s">
        <v>440</v>
      </c>
      <c r="T48" s="3" t="s">
        <v>591</v>
      </c>
      <c r="U48" s="3" t="s">
        <v>593</v>
      </c>
      <c r="V48" s="3" t="s">
        <v>598</v>
      </c>
      <c r="W48" s="3" t="s">
        <v>601</v>
      </c>
      <c r="X48" s="3" t="s">
        <v>601</v>
      </c>
      <c r="Y48" s="3" t="s">
        <v>608</v>
      </c>
    </row>
    <row r="49" spans="1:25">
      <c r="A49" t="s">
        <v>153</v>
      </c>
      <c r="B49" t="s">
        <v>384</v>
      </c>
      <c r="C49" s="1" t="s">
        <v>154</v>
      </c>
      <c r="D49" s="4" t="s">
        <v>385</v>
      </c>
      <c r="E49" s="2" t="s">
        <v>65</v>
      </c>
      <c r="F49" s="2" t="s">
        <v>23</v>
      </c>
      <c r="G49" s="3" t="s">
        <v>428</v>
      </c>
      <c r="H49" s="3" t="s">
        <v>429</v>
      </c>
      <c r="I49" s="3" t="s">
        <v>328</v>
      </c>
      <c r="J49" s="3" t="s">
        <v>430</v>
      </c>
      <c r="K49" s="3" t="s">
        <v>137</v>
      </c>
      <c r="L49" s="3" t="s">
        <v>49</v>
      </c>
      <c r="M49" s="3" t="s">
        <v>50</v>
      </c>
      <c r="N49" s="3" t="s">
        <v>23</v>
      </c>
      <c r="O49" s="3" t="s">
        <v>431</v>
      </c>
      <c r="P49" s="3" t="s">
        <v>137</v>
      </c>
      <c r="Q49" s="3" t="s">
        <v>54</v>
      </c>
      <c r="R49" s="3" t="s">
        <v>86</v>
      </c>
      <c r="S49" s="5" t="s">
        <v>432</v>
      </c>
      <c r="T49" s="3" t="s">
        <v>591</v>
      </c>
      <c r="U49" s="3" t="s">
        <v>593</v>
      </c>
      <c r="V49" s="3" t="s">
        <v>596</v>
      </c>
      <c r="W49" s="3" t="s">
        <v>601</v>
      </c>
      <c r="X49" s="3" t="s">
        <v>609</v>
      </c>
      <c r="Y49" s="3" t="s">
        <v>606</v>
      </c>
    </row>
    <row r="50" spans="1:25">
      <c r="A50" t="s">
        <v>548</v>
      </c>
      <c r="B50" t="s">
        <v>399</v>
      </c>
      <c r="C50" s="1" t="s">
        <v>549</v>
      </c>
      <c r="D50" s="4" t="s">
        <v>400</v>
      </c>
      <c r="E50" s="2" t="s">
        <v>21</v>
      </c>
      <c r="F50" s="2" t="s">
        <v>550</v>
      </c>
      <c r="G50" s="3" t="s">
        <v>551</v>
      </c>
      <c r="H50" s="3" t="s">
        <v>552</v>
      </c>
      <c r="I50" s="3" t="s">
        <v>553</v>
      </c>
      <c r="J50" s="3" t="s">
        <v>554</v>
      </c>
      <c r="K50" s="3" t="s">
        <v>555</v>
      </c>
      <c r="L50" s="3" t="s">
        <v>49</v>
      </c>
      <c r="M50" s="3" t="s">
        <v>50</v>
      </c>
      <c r="N50" s="3" t="s">
        <v>23</v>
      </c>
      <c r="O50" s="3" t="s">
        <v>556</v>
      </c>
      <c r="P50" s="3" t="s">
        <v>278</v>
      </c>
      <c r="Q50" s="3" t="s">
        <v>54</v>
      </c>
      <c r="R50" s="3" t="s">
        <v>86</v>
      </c>
      <c r="S50" s="5" t="s">
        <v>557</v>
      </c>
      <c r="T50" s="3" t="s">
        <v>591</v>
      </c>
      <c r="U50" s="3" t="s">
        <v>593</v>
      </c>
      <c r="V50" s="3" t="s">
        <v>598</v>
      </c>
      <c r="W50" s="3" t="s">
        <v>601</v>
      </c>
      <c r="X50" s="3" t="s">
        <v>609</v>
      </c>
      <c r="Y50" s="3" t="s">
        <v>609</v>
      </c>
    </row>
    <row r="51" spans="1:25">
      <c r="A51" t="s">
        <v>491</v>
      </c>
      <c r="B51" t="s">
        <v>405</v>
      </c>
      <c r="C51" s="1" t="s">
        <v>492</v>
      </c>
      <c r="D51" s="4" t="s">
        <v>406</v>
      </c>
      <c r="E51" s="2" t="s">
        <v>21</v>
      </c>
      <c r="F51" s="2" t="s">
        <v>493</v>
      </c>
      <c r="G51" s="3" t="s">
        <v>494</v>
      </c>
      <c r="H51" s="3" t="s">
        <v>168</v>
      </c>
      <c r="I51" s="3" t="s">
        <v>66</v>
      </c>
      <c r="J51" s="3" t="s">
        <v>495</v>
      </c>
      <c r="K51" s="3" t="s">
        <v>41</v>
      </c>
      <c r="L51" s="3" t="s">
        <v>49</v>
      </c>
      <c r="M51" s="3" t="s">
        <v>61</v>
      </c>
      <c r="N51" s="3" t="s">
        <v>23</v>
      </c>
      <c r="O51" s="3" t="s">
        <v>160</v>
      </c>
      <c r="P51" s="3" t="s">
        <v>41</v>
      </c>
      <c r="Q51" s="3" t="s">
        <v>38</v>
      </c>
      <c r="R51" s="3" t="s">
        <v>86</v>
      </c>
      <c r="S51" s="5" t="s">
        <v>496</v>
      </c>
      <c r="T51" s="3" t="s">
        <v>591</v>
      </c>
      <c r="U51" s="3" t="s">
        <v>594</v>
      </c>
      <c r="V51" s="3" t="s">
        <v>597</v>
      </c>
      <c r="W51" s="3" t="s">
        <v>601</v>
      </c>
      <c r="X51" s="3" t="s">
        <v>607</v>
      </c>
      <c r="Y51" s="3" t="s">
        <v>608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7"/>
  <sheetViews>
    <sheetView topLeftCell="A34" workbookViewId="0">
      <selection activeCell="C7" sqref="A3:C7"/>
    </sheetView>
  </sheetViews>
  <sheetFormatPr baseColWidth="10" defaultRowHeight="14" x14ac:dyDescent="0"/>
  <cols>
    <col min="1" max="1" width="17.83203125" customWidth="1"/>
    <col min="2" max="2" width="19" bestFit="1" customWidth="1"/>
    <col min="3" max="3" width="10.6640625" customWidth="1"/>
    <col min="4" max="5" width="10.5" customWidth="1"/>
    <col min="6" max="6" width="17.5" bestFit="1" customWidth="1"/>
    <col min="7" max="7" width="18" bestFit="1" customWidth="1"/>
    <col min="8" max="8" width="21.5" bestFit="1" customWidth="1"/>
    <col min="9" max="9" width="22" bestFit="1" customWidth="1"/>
  </cols>
  <sheetData>
    <row r="3" spans="1:4">
      <c r="A3" s="6" t="s">
        <v>612</v>
      </c>
      <c r="B3" s="6" t="s">
        <v>588</v>
      </c>
    </row>
    <row r="4" spans="1:4">
      <c r="A4" s="6" t="s">
        <v>583</v>
      </c>
      <c r="B4" t="s">
        <v>594</v>
      </c>
      <c r="C4" t="s">
        <v>593</v>
      </c>
      <c r="D4" t="s">
        <v>585</v>
      </c>
    </row>
    <row r="5" spans="1:4">
      <c r="A5" s="7" t="s">
        <v>591</v>
      </c>
      <c r="B5" s="8">
        <v>1</v>
      </c>
      <c r="C5" s="8">
        <v>24</v>
      </c>
      <c r="D5" s="8">
        <v>25</v>
      </c>
    </row>
    <row r="6" spans="1:4">
      <c r="A6" s="7" t="s">
        <v>590</v>
      </c>
      <c r="B6" s="8">
        <v>7</v>
      </c>
      <c r="C6" s="8">
        <v>18</v>
      </c>
      <c r="D6" s="8">
        <v>25</v>
      </c>
    </row>
    <row r="7" spans="1:4">
      <c r="A7" s="7" t="s">
        <v>585</v>
      </c>
      <c r="B7" s="8">
        <v>8</v>
      </c>
      <c r="C7" s="8">
        <v>42</v>
      </c>
      <c r="D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7"/>
  <sheetViews>
    <sheetView topLeftCell="A2" workbookViewId="0">
      <selection activeCell="L36" sqref="L36"/>
    </sheetView>
  </sheetViews>
  <sheetFormatPr baseColWidth="10" defaultRowHeight="14" x14ac:dyDescent="0"/>
  <cols>
    <col min="1" max="1" width="26.33203125" customWidth="1"/>
    <col min="2" max="2" width="19" customWidth="1"/>
    <col min="3" max="4" width="13.83203125" customWidth="1"/>
    <col min="5" max="5" width="14.1640625" customWidth="1"/>
    <col min="6" max="6" width="10.5" customWidth="1"/>
    <col min="7" max="7" width="18" customWidth="1"/>
    <col min="8" max="8" width="25.83203125" customWidth="1"/>
    <col min="9" max="9" width="18" customWidth="1"/>
    <col min="10" max="10" width="29.6640625" customWidth="1"/>
    <col min="11" max="11" width="22" customWidth="1"/>
    <col min="12" max="12" width="13.83203125" bestFit="1" customWidth="1"/>
    <col min="13" max="13" width="14.1640625" bestFit="1" customWidth="1"/>
    <col min="14" max="14" width="22" bestFit="1" customWidth="1"/>
    <col min="15" max="15" width="29.6640625" bestFit="1" customWidth="1"/>
    <col min="16" max="16" width="30.6640625" bestFit="1" customWidth="1"/>
  </cols>
  <sheetData>
    <row r="3" spans="1:6">
      <c r="A3" s="6" t="s">
        <v>613</v>
      </c>
      <c r="B3" s="6" t="s">
        <v>588</v>
      </c>
    </row>
    <row r="4" spans="1:6">
      <c r="A4" s="6" t="s">
        <v>583</v>
      </c>
      <c r="B4" t="s">
        <v>599</v>
      </c>
      <c r="C4" t="s">
        <v>597</v>
      </c>
      <c r="D4" t="s">
        <v>598</v>
      </c>
      <c r="E4" t="s">
        <v>596</v>
      </c>
      <c r="F4" t="s">
        <v>585</v>
      </c>
    </row>
    <row r="5" spans="1:6">
      <c r="A5" s="7" t="s">
        <v>591</v>
      </c>
      <c r="B5" s="8"/>
      <c r="C5" s="8">
        <v>1</v>
      </c>
      <c r="D5" s="8">
        <v>17</v>
      </c>
      <c r="E5" s="8">
        <v>7</v>
      </c>
      <c r="F5" s="8">
        <v>25</v>
      </c>
    </row>
    <row r="6" spans="1:6">
      <c r="A6" s="7" t="s">
        <v>590</v>
      </c>
      <c r="B6" s="8">
        <v>1</v>
      </c>
      <c r="C6" s="8">
        <v>5</v>
      </c>
      <c r="D6" s="8">
        <v>14</v>
      </c>
      <c r="E6" s="8">
        <v>5</v>
      </c>
      <c r="F6" s="8">
        <v>25</v>
      </c>
    </row>
    <row r="7" spans="1:6">
      <c r="A7" s="7" t="s">
        <v>585</v>
      </c>
      <c r="B7" s="8">
        <v>1</v>
      </c>
      <c r="C7" s="8">
        <v>6</v>
      </c>
      <c r="D7" s="8">
        <v>31</v>
      </c>
      <c r="E7" s="8">
        <v>12</v>
      </c>
      <c r="F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14"/>
  <sheetViews>
    <sheetView topLeftCell="B6" workbookViewId="0">
      <selection activeCell="C14" sqref="A3:C14"/>
    </sheetView>
  </sheetViews>
  <sheetFormatPr baseColWidth="10" defaultRowHeight="14" x14ac:dyDescent="0"/>
  <cols>
    <col min="1" max="1" width="26.33203125" customWidth="1"/>
    <col min="2" max="2" width="19" customWidth="1"/>
    <col min="3" max="3" width="10.6640625" customWidth="1"/>
    <col min="4" max="4" width="10.5" customWidth="1"/>
    <col min="5" max="5" width="10.6640625" customWidth="1"/>
    <col min="6" max="6" width="29.6640625" customWidth="1"/>
    <col min="7" max="7" width="21.5" customWidth="1"/>
    <col min="8" max="8" width="10.6640625" customWidth="1"/>
    <col min="9" max="9" width="17.83203125" customWidth="1"/>
    <col min="10" max="10" width="16.33203125" customWidth="1"/>
    <col min="11" max="11" width="18.1640625" customWidth="1"/>
    <col min="12" max="12" width="17.5" bestFit="1" customWidth="1"/>
    <col min="13" max="13" width="17.83203125" bestFit="1" customWidth="1"/>
    <col min="14" max="14" width="16" customWidth="1"/>
    <col min="15" max="15" width="10.6640625" customWidth="1"/>
    <col min="16" max="16" width="17.83203125" customWidth="1"/>
    <col min="17" max="17" width="16" bestFit="1" customWidth="1"/>
    <col min="18" max="18" width="10.6640625" customWidth="1"/>
    <col min="19" max="19" width="17.83203125" bestFit="1" customWidth="1"/>
    <col min="20" max="20" width="16.33203125" bestFit="1" customWidth="1"/>
    <col min="21" max="21" width="18.1640625" bestFit="1" customWidth="1"/>
    <col min="22" max="22" width="29.6640625" bestFit="1" customWidth="1"/>
    <col min="23" max="23" width="21.5" bestFit="1" customWidth="1"/>
  </cols>
  <sheetData>
    <row r="3" spans="1:4">
      <c r="A3" s="6" t="s">
        <v>613</v>
      </c>
      <c r="B3" s="6" t="s">
        <v>588</v>
      </c>
    </row>
    <row r="4" spans="1:4">
      <c r="A4" s="6" t="s">
        <v>583</v>
      </c>
      <c r="B4" t="s">
        <v>594</v>
      </c>
      <c r="C4" t="s">
        <v>593</v>
      </c>
      <c r="D4" t="s">
        <v>585</v>
      </c>
    </row>
    <row r="5" spans="1:4">
      <c r="A5" s="7" t="s">
        <v>591</v>
      </c>
      <c r="B5" s="8">
        <v>1</v>
      </c>
      <c r="C5" s="8">
        <v>24</v>
      </c>
      <c r="D5" s="8">
        <v>25</v>
      </c>
    </row>
    <row r="6" spans="1:4">
      <c r="A6" s="9" t="s">
        <v>597</v>
      </c>
      <c r="B6" s="8">
        <v>1</v>
      </c>
      <c r="C6" s="8"/>
      <c r="D6" s="8">
        <v>1</v>
      </c>
    </row>
    <row r="7" spans="1:4">
      <c r="A7" s="9" t="s">
        <v>598</v>
      </c>
      <c r="B7" s="8"/>
      <c r="C7" s="8">
        <v>17</v>
      </c>
      <c r="D7" s="8">
        <v>17</v>
      </c>
    </row>
    <row r="8" spans="1:4">
      <c r="A8" s="9" t="s">
        <v>596</v>
      </c>
      <c r="B8" s="8"/>
      <c r="C8" s="8">
        <v>7</v>
      </c>
      <c r="D8" s="8">
        <v>7</v>
      </c>
    </row>
    <row r="9" spans="1:4">
      <c r="A9" s="7" t="s">
        <v>590</v>
      </c>
      <c r="B9" s="8">
        <v>7</v>
      </c>
      <c r="C9" s="8">
        <v>18</v>
      </c>
      <c r="D9" s="8">
        <v>25</v>
      </c>
    </row>
    <row r="10" spans="1:4">
      <c r="A10" s="9" t="s">
        <v>599</v>
      </c>
      <c r="B10" s="8">
        <v>1</v>
      </c>
      <c r="C10" s="8"/>
      <c r="D10" s="8">
        <v>1</v>
      </c>
    </row>
    <row r="11" spans="1:4">
      <c r="A11" s="9" t="s">
        <v>597</v>
      </c>
      <c r="B11" s="8">
        <v>4</v>
      </c>
      <c r="C11" s="8">
        <v>1</v>
      </c>
      <c r="D11" s="8">
        <v>5</v>
      </c>
    </row>
    <row r="12" spans="1:4">
      <c r="A12" s="9" t="s">
        <v>598</v>
      </c>
      <c r="B12" s="8">
        <v>2</v>
      </c>
      <c r="C12" s="8">
        <v>12</v>
      </c>
      <c r="D12" s="8">
        <v>14</v>
      </c>
    </row>
    <row r="13" spans="1:4">
      <c r="A13" s="9" t="s">
        <v>596</v>
      </c>
      <c r="B13" s="8"/>
      <c r="C13" s="8">
        <v>5</v>
      </c>
      <c r="D13" s="8">
        <v>5</v>
      </c>
    </row>
    <row r="14" spans="1:4">
      <c r="A14" s="7" t="s">
        <v>585</v>
      </c>
      <c r="B14" s="8">
        <v>8</v>
      </c>
      <c r="C14" s="8">
        <v>42</v>
      </c>
      <c r="D14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7"/>
  <sheetViews>
    <sheetView topLeftCell="B1" workbookViewId="0">
      <selection activeCell="E7" sqref="A5:E7"/>
    </sheetView>
  </sheetViews>
  <sheetFormatPr baseColWidth="10" defaultRowHeight="14" x14ac:dyDescent="0"/>
  <cols>
    <col min="1" max="1" width="24.1640625" bestFit="1" customWidth="1"/>
    <col min="2" max="2" width="19" bestFit="1" customWidth="1"/>
    <col min="3" max="3" width="15.1640625" customWidth="1"/>
    <col min="4" max="4" width="5.1640625" customWidth="1"/>
    <col min="5" max="5" width="19" customWidth="1"/>
    <col min="6" max="7" width="10.5" customWidth="1"/>
  </cols>
  <sheetData>
    <row r="3" spans="1:6">
      <c r="A3" s="6" t="s">
        <v>614</v>
      </c>
      <c r="B3" s="6" t="s">
        <v>588</v>
      </c>
    </row>
    <row r="4" spans="1:6">
      <c r="A4" s="6" t="s">
        <v>583</v>
      </c>
      <c r="B4" t="s">
        <v>611</v>
      </c>
      <c r="C4" t="s">
        <v>602</v>
      </c>
      <c r="D4" t="s">
        <v>601</v>
      </c>
      <c r="E4" t="s">
        <v>603</v>
      </c>
      <c r="F4" t="s">
        <v>585</v>
      </c>
    </row>
    <row r="5" spans="1:6">
      <c r="A5" s="7" t="s">
        <v>591</v>
      </c>
      <c r="B5" s="8"/>
      <c r="C5" s="8"/>
      <c r="D5" s="8">
        <v>20</v>
      </c>
      <c r="E5" s="8">
        <v>5</v>
      </c>
      <c r="F5" s="8">
        <v>25</v>
      </c>
    </row>
    <row r="6" spans="1:6">
      <c r="A6" s="7" t="s">
        <v>590</v>
      </c>
      <c r="B6" s="8">
        <v>1</v>
      </c>
      <c r="C6" s="8">
        <v>8</v>
      </c>
      <c r="D6" s="8">
        <v>12</v>
      </c>
      <c r="E6" s="8">
        <v>4</v>
      </c>
      <c r="F6" s="8">
        <v>25</v>
      </c>
    </row>
    <row r="7" spans="1:6">
      <c r="A7" s="7" t="s">
        <v>585</v>
      </c>
      <c r="B7" s="8">
        <v>1</v>
      </c>
      <c r="C7" s="8">
        <v>8</v>
      </c>
      <c r="D7" s="8">
        <v>32</v>
      </c>
      <c r="E7" s="8">
        <v>9</v>
      </c>
      <c r="F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7"/>
  <sheetViews>
    <sheetView workbookViewId="0">
      <selection activeCell="F7" sqref="A4:F7"/>
    </sheetView>
  </sheetViews>
  <sheetFormatPr baseColWidth="10" defaultRowHeight="14" x14ac:dyDescent="0"/>
  <cols>
    <col min="1" max="1" width="24.1640625" bestFit="1" customWidth="1"/>
    <col min="2" max="2" width="19" customWidth="1"/>
    <col min="3" max="3" width="14.6640625" customWidth="1"/>
    <col min="4" max="4" width="5.1640625" customWidth="1"/>
    <col min="5" max="5" width="30.83203125" customWidth="1"/>
    <col min="6" max="6" width="10.1640625" customWidth="1"/>
    <col min="7" max="9" width="10.5" customWidth="1"/>
  </cols>
  <sheetData>
    <row r="3" spans="1:7">
      <c r="A3" s="6" t="s">
        <v>615</v>
      </c>
      <c r="B3" s="6" t="s">
        <v>588</v>
      </c>
    </row>
    <row r="4" spans="1:7">
      <c r="A4" s="6" t="s">
        <v>583</v>
      </c>
      <c r="B4" t="s">
        <v>609</v>
      </c>
      <c r="C4" t="s">
        <v>610</v>
      </c>
      <c r="D4" t="s">
        <v>601</v>
      </c>
      <c r="E4" t="s">
        <v>607</v>
      </c>
      <c r="F4" t="s">
        <v>606</v>
      </c>
      <c r="G4" t="s">
        <v>585</v>
      </c>
    </row>
    <row r="5" spans="1:7">
      <c r="A5" s="7" t="s">
        <v>591</v>
      </c>
      <c r="B5" s="8">
        <v>8</v>
      </c>
      <c r="C5" s="8"/>
      <c r="D5" s="8">
        <v>4</v>
      </c>
      <c r="E5" s="8">
        <v>8</v>
      </c>
      <c r="F5" s="8">
        <v>5</v>
      </c>
      <c r="G5" s="8">
        <v>25</v>
      </c>
    </row>
    <row r="6" spans="1:7">
      <c r="A6" s="7" t="s">
        <v>590</v>
      </c>
      <c r="B6" s="8">
        <v>11</v>
      </c>
      <c r="C6" s="8">
        <v>4</v>
      </c>
      <c r="D6" s="8">
        <v>2</v>
      </c>
      <c r="E6" s="8">
        <v>5</v>
      </c>
      <c r="F6" s="8">
        <v>3</v>
      </c>
      <c r="G6" s="8">
        <v>25</v>
      </c>
    </row>
    <row r="7" spans="1:7">
      <c r="A7" s="7" t="s">
        <v>585</v>
      </c>
      <c r="B7" s="8">
        <v>19</v>
      </c>
      <c r="C7" s="8">
        <v>4</v>
      </c>
      <c r="D7" s="8">
        <v>6</v>
      </c>
      <c r="E7" s="8">
        <v>13</v>
      </c>
      <c r="F7" s="8">
        <v>8</v>
      </c>
      <c r="G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7"/>
  <sheetViews>
    <sheetView workbookViewId="0">
      <selection activeCell="I39" sqref="I39"/>
    </sheetView>
  </sheetViews>
  <sheetFormatPr baseColWidth="10" defaultRowHeight="14" x14ac:dyDescent="0"/>
  <cols>
    <col min="1" max="1" width="24.1640625" customWidth="1"/>
    <col min="2" max="2" width="19" bestFit="1" customWidth="1"/>
    <col min="3" max="3" width="17" customWidth="1"/>
    <col min="4" max="4" width="14.6640625" customWidth="1"/>
    <col min="5" max="5" width="5.1640625" customWidth="1"/>
    <col min="6" max="6" width="30.83203125" bestFit="1" customWidth="1"/>
    <col min="7" max="7" width="10.1640625" customWidth="1"/>
    <col min="8" max="11" width="10.5" customWidth="1"/>
  </cols>
  <sheetData>
    <row r="3" spans="1:8">
      <c r="A3" s="6" t="s">
        <v>616</v>
      </c>
      <c r="B3" s="6" t="s">
        <v>588</v>
      </c>
    </row>
    <row r="4" spans="1:8">
      <c r="A4" s="6" t="s">
        <v>583</v>
      </c>
      <c r="B4" t="s">
        <v>602</v>
      </c>
      <c r="C4" t="s">
        <v>609</v>
      </c>
      <c r="D4" t="s">
        <v>610</v>
      </c>
      <c r="E4" t="s">
        <v>601</v>
      </c>
      <c r="F4" t="s">
        <v>608</v>
      </c>
      <c r="G4" t="s">
        <v>606</v>
      </c>
      <c r="H4" t="s">
        <v>585</v>
      </c>
    </row>
    <row r="5" spans="1:8">
      <c r="A5" s="7" t="s">
        <v>591</v>
      </c>
      <c r="B5" s="8"/>
      <c r="C5" s="8">
        <v>3</v>
      </c>
      <c r="D5" s="8"/>
      <c r="E5" s="8">
        <v>4</v>
      </c>
      <c r="F5" s="8">
        <v>6</v>
      </c>
      <c r="G5" s="8">
        <v>12</v>
      </c>
      <c r="H5" s="8">
        <v>25</v>
      </c>
    </row>
    <row r="6" spans="1:8">
      <c r="A6" s="7" t="s">
        <v>590</v>
      </c>
      <c r="B6" s="8">
        <v>1</v>
      </c>
      <c r="C6" s="8">
        <v>4</v>
      </c>
      <c r="D6" s="8">
        <v>1</v>
      </c>
      <c r="E6" s="8"/>
      <c r="F6" s="8">
        <v>3</v>
      </c>
      <c r="G6" s="8">
        <v>16</v>
      </c>
      <c r="H6" s="8">
        <v>25</v>
      </c>
    </row>
    <row r="7" spans="1:8">
      <c r="A7" s="7" t="s">
        <v>585</v>
      </c>
      <c r="B7" s="8">
        <v>1</v>
      </c>
      <c r="C7" s="8">
        <v>7</v>
      </c>
      <c r="D7" s="8">
        <v>1</v>
      </c>
      <c r="E7" s="8">
        <v>4</v>
      </c>
      <c r="F7" s="8">
        <v>9</v>
      </c>
      <c r="G7" s="8">
        <v>28</v>
      </c>
      <c r="H7" s="8">
        <v>50</v>
      </c>
    </row>
  </sheetData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tabSelected="1" topLeftCell="A2" workbookViewId="0">
      <selection activeCell="C34" sqref="A5:C34"/>
    </sheetView>
  </sheetViews>
  <sheetFormatPr baseColWidth="10" defaultRowHeight="14" x14ac:dyDescent="0"/>
  <cols>
    <col min="1" max="1" width="19.1640625" bestFit="1" customWidth="1"/>
    <col min="2" max="2" width="19" customWidth="1"/>
    <col min="3" max="3" width="3.1640625" customWidth="1"/>
    <col min="4" max="5" width="10.5" customWidth="1"/>
    <col min="6" max="6" width="3.1640625" customWidth="1"/>
    <col min="7" max="7" width="6.6640625" customWidth="1"/>
    <col min="8" max="8" width="22.6640625" customWidth="1"/>
    <col min="9" max="9" width="22" customWidth="1"/>
    <col min="10" max="11" width="6.6640625" customWidth="1"/>
    <col min="12" max="12" width="6.5" customWidth="1"/>
    <col min="13" max="13" width="6.83203125" customWidth="1"/>
    <col min="14" max="14" width="6.6640625" customWidth="1"/>
    <col min="15" max="15" width="10.5" customWidth="1"/>
  </cols>
  <sheetData>
    <row r="3" spans="1:4">
      <c r="A3" s="6" t="s">
        <v>617</v>
      </c>
      <c r="B3" s="6" t="s">
        <v>588</v>
      </c>
    </row>
    <row r="4" spans="1:4">
      <c r="A4" s="6" t="s">
        <v>583</v>
      </c>
      <c r="B4" t="s">
        <v>591</v>
      </c>
      <c r="C4" t="s">
        <v>590</v>
      </c>
      <c r="D4" t="s">
        <v>585</v>
      </c>
    </row>
    <row r="5" spans="1:4">
      <c r="A5" s="7" t="s">
        <v>377</v>
      </c>
      <c r="B5" s="8"/>
      <c r="C5" s="8">
        <v>1</v>
      </c>
      <c r="D5" s="8">
        <v>1</v>
      </c>
    </row>
    <row r="6" spans="1:4">
      <c r="A6" s="7" t="s">
        <v>141</v>
      </c>
      <c r="B6" s="8"/>
      <c r="C6" s="8">
        <v>1</v>
      </c>
      <c r="D6" s="8">
        <v>1</v>
      </c>
    </row>
    <row r="7" spans="1:4">
      <c r="A7" s="7" t="s">
        <v>70</v>
      </c>
      <c r="B7" s="8"/>
      <c r="C7" s="8">
        <v>1</v>
      </c>
      <c r="D7" s="8">
        <v>1</v>
      </c>
    </row>
    <row r="8" spans="1:4">
      <c r="A8" s="7" t="s">
        <v>223</v>
      </c>
      <c r="B8" s="8"/>
      <c r="C8" s="8">
        <v>1</v>
      </c>
      <c r="D8" s="8">
        <v>1</v>
      </c>
    </row>
    <row r="9" spans="1:4">
      <c r="A9" s="7" t="s">
        <v>99</v>
      </c>
      <c r="B9" s="8">
        <v>1</v>
      </c>
      <c r="C9" s="8"/>
      <c r="D9" s="8">
        <v>1</v>
      </c>
    </row>
    <row r="10" spans="1:4">
      <c r="A10" s="7" t="s">
        <v>352</v>
      </c>
      <c r="B10" s="8">
        <v>1</v>
      </c>
      <c r="C10" s="8"/>
      <c r="D10" s="8">
        <v>1</v>
      </c>
    </row>
    <row r="11" spans="1:4">
      <c r="A11" s="7" t="s">
        <v>250</v>
      </c>
      <c r="B11" s="8">
        <v>1</v>
      </c>
      <c r="C11" s="8"/>
      <c r="D11" s="8">
        <v>1</v>
      </c>
    </row>
    <row r="12" spans="1:4">
      <c r="A12" s="7" t="s">
        <v>333</v>
      </c>
      <c r="B12" s="8"/>
      <c r="C12" s="8">
        <v>1</v>
      </c>
      <c r="D12" s="8">
        <v>1</v>
      </c>
    </row>
    <row r="13" spans="1:4">
      <c r="A13" s="7" t="s">
        <v>66</v>
      </c>
      <c r="B13" s="8"/>
      <c r="C13" s="8">
        <v>1</v>
      </c>
      <c r="D13" s="8">
        <v>1</v>
      </c>
    </row>
    <row r="14" spans="1:4">
      <c r="A14" s="7" t="s">
        <v>555</v>
      </c>
      <c r="B14" s="8">
        <v>1</v>
      </c>
      <c r="C14" s="8"/>
      <c r="D14" s="8">
        <v>1</v>
      </c>
    </row>
    <row r="15" spans="1:4">
      <c r="A15" s="7" t="s">
        <v>63</v>
      </c>
      <c r="B15" s="8">
        <v>1</v>
      </c>
      <c r="C15" s="8">
        <v>1</v>
      </c>
      <c r="D15" s="8">
        <v>2</v>
      </c>
    </row>
    <row r="16" spans="1:4">
      <c r="A16" s="7" t="s">
        <v>307</v>
      </c>
      <c r="B16" s="8"/>
      <c r="C16" s="8">
        <v>1</v>
      </c>
      <c r="D16" s="8">
        <v>1</v>
      </c>
    </row>
    <row r="17" spans="1:4">
      <c r="A17" s="7" t="s">
        <v>283</v>
      </c>
      <c r="B17" s="8"/>
      <c r="C17" s="8">
        <v>1</v>
      </c>
      <c r="D17" s="8">
        <v>1</v>
      </c>
    </row>
    <row r="18" spans="1:4">
      <c r="A18" s="7" t="s">
        <v>59</v>
      </c>
      <c r="B18" s="8">
        <v>1</v>
      </c>
      <c r="C18" s="8">
        <v>2</v>
      </c>
      <c r="D18" s="8">
        <v>3</v>
      </c>
    </row>
    <row r="19" spans="1:4">
      <c r="A19" s="7" t="s">
        <v>231</v>
      </c>
      <c r="B19" s="8"/>
      <c r="C19" s="8">
        <v>1</v>
      </c>
      <c r="D19" s="8">
        <v>1</v>
      </c>
    </row>
    <row r="20" spans="1:4">
      <c r="A20" s="7" t="s">
        <v>190</v>
      </c>
      <c r="B20" s="8">
        <v>1</v>
      </c>
      <c r="C20" s="8"/>
      <c r="D20" s="8">
        <v>1</v>
      </c>
    </row>
    <row r="21" spans="1:4">
      <c r="A21" s="7" t="s">
        <v>271</v>
      </c>
      <c r="B21" s="8"/>
      <c r="C21" s="8">
        <v>1</v>
      </c>
      <c r="D21" s="8">
        <v>1</v>
      </c>
    </row>
    <row r="22" spans="1:4">
      <c r="A22" s="7" t="s">
        <v>277</v>
      </c>
      <c r="B22" s="8">
        <v>1</v>
      </c>
      <c r="C22" s="8"/>
      <c r="D22" s="8">
        <v>1</v>
      </c>
    </row>
    <row r="23" spans="1:4">
      <c r="A23" s="7" t="s">
        <v>56</v>
      </c>
      <c r="B23" s="8">
        <v>2</v>
      </c>
      <c r="C23" s="8"/>
      <c r="D23" s="8">
        <v>2</v>
      </c>
    </row>
    <row r="24" spans="1:4">
      <c r="A24" s="7" t="s">
        <v>48</v>
      </c>
      <c r="B24" s="8">
        <v>2</v>
      </c>
      <c r="C24" s="8">
        <v>1</v>
      </c>
      <c r="D24" s="8">
        <v>3</v>
      </c>
    </row>
    <row r="25" spans="1:4">
      <c r="A25" s="7" t="s">
        <v>67</v>
      </c>
      <c r="B25" s="8">
        <v>1</v>
      </c>
      <c r="C25" s="8">
        <v>2</v>
      </c>
      <c r="D25" s="8">
        <v>3</v>
      </c>
    </row>
    <row r="26" spans="1:4">
      <c r="A26" s="7" t="s">
        <v>41</v>
      </c>
      <c r="B26" s="8">
        <v>3</v>
      </c>
      <c r="C26" s="8">
        <v>2</v>
      </c>
      <c r="D26" s="8">
        <v>5</v>
      </c>
    </row>
    <row r="27" spans="1:4">
      <c r="A27" s="7" t="s">
        <v>36</v>
      </c>
      <c r="B27" s="8">
        <v>2</v>
      </c>
      <c r="C27" s="8">
        <v>3</v>
      </c>
      <c r="D27" s="8">
        <v>5</v>
      </c>
    </row>
    <row r="28" spans="1:4">
      <c r="A28" s="7" t="s">
        <v>29</v>
      </c>
      <c r="B28" s="8">
        <v>2</v>
      </c>
      <c r="C28" s="8"/>
      <c r="D28" s="8">
        <v>2</v>
      </c>
    </row>
    <row r="29" spans="1:4">
      <c r="A29" s="7" t="s">
        <v>146</v>
      </c>
      <c r="B29" s="8">
        <v>2</v>
      </c>
      <c r="C29" s="8"/>
      <c r="D29" s="8">
        <v>2</v>
      </c>
    </row>
    <row r="30" spans="1:4">
      <c r="A30" s="7" t="s">
        <v>137</v>
      </c>
      <c r="B30" s="8">
        <v>1</v>
      </c>
      <c r="C30" s="8">
        <v>1</v>
      </c>
      <c r="D30" s="8">
        <v>2</v>
      </c>
    </row>
    <row r="31" spans="1:4">
      <c r="A31" s="7" t="s">
        <v>111</v>
      </c>
      <c r="B31" s="8"/>
      <c r="C31" s="8">
        <v>1</v>
      </c>
      <c r="D31" s="8">
        <v>1</v>
      </c>
    </row>
    <row r="32" spans="1:4">
      <c r="A32" s="7" t="s">
        <v>420</v>
      </c>
      <c r="B32" s="8">
        <v>1</v>
      </c>
      <c r="C32" s="8"/>
      <c r="D32" s="8">
        <v>1</v>
      </c>
    </row>
    <row r="33" spans="1:4">
      <c r="A33" s="7" t="s">
        <v>107</v>
      </c>
      <c r="B33" s="8">
        <v>1</v>
      </c>
      <c r="C33" s="8">
        <v>1</v>
      </c>
      <c r="D33" s="8">
        <v>2</v>
      </c>
    </row>
    <row r="34" spans="1:4">
      <c r="A34" s="7" t="s">
        <v>84</v>
      </c>
      <c r="B34" s="8"/>
      <c r="C34" s="8">
        <v>1</v>
      </c>
      <c r="D34" s="8">
        <v>1</v>
      </c>
    </row>
    <row r="35" spans="1:4">
      <c r="A35" s="7" t="s">
        <v>585</v>
      </c>
      <c r="B35" s="8">
        <v>25</v>
      </c>
      <c r="C35" s="8">
        <v>25</v>
      </c>
      <c r="D35" s="8">
        <v>50</v>
      </c>
    </row>
  </sheetData>
  <pageMargins left="0.75" right="0.75" top="1" bottom="1" header="0.5" footer="0.5"/>
  <pageSetup paperSize="9"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</vt:lpstr>
      <vt:lpstr>пере</vt:lpstr>
      <vt:lpstr>сводная с</vt:lpstr>
      <vt:lpstr>сводная пере</vt:lpstr>
      <vt:lpstr>Лист8</vt:lpstr>
      <vt:lpstr>Лист10</vt:lpstr>
      <vt:lpstr>общее</vt:lpstr>
      <vt:lpstr>префтен</vt:lpstr>
      <vt:lpstr>префпер</vt:lpstr>
      <vt:lpstr>префпертен</vt:lpstr>
      <vt:lpstr>префпар1</vt:lpstr>
      <vt:lpstr>препар2</vt:lpstr>
      <vt:lpstr>префпар3</vt:lpstr>
      <vt:lpstr>график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Antonina Larina</cp:lastModifiedBy>
  <dcterms:created xsi:type="dcterms:W3CDTF">2018-09-24T21:13:40Z</dcterms:created>
  <dcterms:modified xsi:type="dcterms:W3CDTF">2018-09-25T16:38:23Z</dcterms:modified>
</cp:coreProperties>
</file>